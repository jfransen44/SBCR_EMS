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eFileCabinet\S.B.C.R., INC. #0002958\2017 PAYROLL\PAYROLL BY PERIOD\08-30-2017\"/>
    </mc:Choice>
  </mc:AlternateContent>
  <bookViews>
    <workbookView xWindow="0" yWindow="36" windowWidth="24120" windowHeight="6288" tabRatio="798" activeTab="6"/>
  </bookViews>
  <sheets>
    <sheet name="Register" sheetId="25" r:id="rId1"/>
    <sheet name="Detail" sheetId="20" r:id="rId2"/>
    <sheet name="Exp Summary" sheetId="24" state="hidden" r:id="rId3"/>
    <sheet name="Exp Charts" sheetId="81" state="hidden" r:id="rId4"/>
    <sheet name="YTD Summary" sheetId="19" state="hidden" r:id="rId5"/>
    <sheet name="Comparison" sheetId="22" state="hidden" r:id="rId6"/>
    <sheet name="Tax Balances" sheetId="82" r:id="rId7"/>
    <sheet name="Scratch" sheetId="84" state="veryHidden" r:id="rId8"/>
    <sheet name="Welcome" sheetId="83" state="hidden" r:id="rId9"/>
    <sheet name="Please Turn on Macros" sheetId="87" state="veryHidden" r:id="rId10"/>
    <sheet name="Data" sheetId="16" state="veryHidden" r:id="rId11"/>
    <sheet name="DataPriorYear" sheetId="21" state="veryHidden" r:id="rId12"/>
    <sheet name="DataPriorInterface" sheetId="86" state="hidden" r:id="rId13"/>
    <sheet name="DataComparison" sheetId="23" state="veryHidden" r:id="rId14"/>
    <sheet name="Supporting Settings" sheetId="15" state="veryHidden" r:id="rId15"/>
    <sheet name="EE_Data" sheetId="14" state="veryHidden" r:id="rId16"/>
    <sheet name="TempData" sheetId="17" state="veryHidden" r:id="rId17"/>
  </sheets>
  <functionGroups builtInGroupCount="18"/>
  <externalReferences>
    <externalReference r:id="rId18"/>
    <externalReference r:id="rId19"/>
  </externalReferences>
  <definedNames>
    <definedName name="_xlnm._FilterDatabase" localSheetId="0" hidden="1">Register!#REF!</definedName>
    <definedName name="_xlnm._FilterDatabase" localSheetId="6" hidden="1">'Tax Balances'!#REF!</definedName>
    <definedName name="ClipFirstName" hidden="1">'Supporting Settings'!$B$25</definedName>
    <definedName name="ClipLastName" hidden="1">'Supporting Settings'!$B$27</definedName>
    <definedName name="ClipMI" hidden="1">'Supporting Settings'!$B$26</definedName>
    <definedName name="ConsolidateData" hidden="1">'Supporting Settings'!$B$34</definedName>
    <definedName name="ConvertNamesUpper" hidden="1">'Supporting Settings'!$B$24</definedName>
    <definedName name="ctylist">[2]Sheet3!$A$2:$B$93</definedName>
    <definedName name="DateRangeSelected" hidden="1">'Supporting Settings'!$B$20</definedName>
    <definedName name="DrillDownSupport" hidden="1">'Supporting Settings'!$B$31</definedName>
    <definedName name="EECustomData" hidden="1">'Supporting Settings'!$B$35</definedName>
    <definedName name="eeList">array("Tim","George","Walter")</definedName>
    <definedName name="EndDate" hidden="1">'Supporting Settings'!$B$4</definedName>
    <definedName name="FilterDates" hidden="1">'Supporting Settings'!$B$1</definedName>
    <definedName name="FirstUsedDate" hidden="1">'Supporting Settings'!$B$29</definedName>
    <definedName name="GetDataEndTime" hidden="1">'Supporting Settings'!$B$33</definedName>
    <definedName name="GetDataStartTime" hidden="1">'Supporting Settings'!$B$32</definedName>
    <definedName name="HideActivity" hidden="1">'Supporting Settings'!$B$11</definedName>
    <definedName name="HideData" hidden="1">'Supporting Settings'!$B$12</definedName>
    <definedName name="LastEndDate" hidden="1">'Supporting Settings'!$B$6</definedName>
    <definedName name="LastStartDate" hidden="1">'Supporting Settings'!$B$5</definedName>
    <definedName name="LastUpdateFromQB" hidden="1">'Supporting Settings'!$B$28</definedName>
    <definedName name="maskSSN" hidden="1">'Supporting Settings'!$B$15</definedName>
    <definedName name="MinimumWage" hidden="1">'Supporting Settings'!$B$14</definedName>
    <definedName name="OnErrorResume" hidden="1">'Supporting Settings'!$B$10</definedName>
    <definedName name="_xlnm.Print_Titles" localSheetId="5">Comparison!$1:$5</definedName>
    <definedName name="_xlnm.Print_Titles" localSheetId="1">Detail!$1:$2</definedName>
    <definedName name="_xlnm.Print_Titles" localSheetId="2">'Exp Summary'!$1:$1</definedName>
    <definedName name="_xlnm.Print_Titles" localSheetId="0">Register!$1:$3</definedName>
    <definedName name="_xlnm.Print_Titles" localSheetId="4">'YTD Summary'!$1:$2</definedName>
    <definedName name="QBCoCreateID" hidden="1">'Supporting Settings'!$H$21</definedName>
    <definedName name="QBCoFileGUID" hidden="1">'Supporting Settings'!$H$20</definedName>
    <definedName name="QBCompanyType" hidden="1">'Supporting Settings'!$H$23</definedName>
    <definedName name="QBCreateID">'Supporting Settings'!$H$41</definedName>
    <definedName name="QBCreateTime">'Supporting Settings'!$H$42</definedName>
    <definedName name="QBCurrentFiscalYear" hidden="1">'Supporting Settings'!$H$2</definedName>
    <definedName name="QBCurrentTaxYear" hidden="1">'Supporting Settings'!$H$3</definedName>
    <definedName name="QBFederalID" hidden="1">'Supporting Settings'!$H$4</definedName>
    <definedName name="QBFileName" hidden="1">'Supporting Settings'!$H$22</definedName>
    <definedName name="QBLegalAddress1" hidden="1">'Supporting Settings'!$H$6</definedName>
    <definedName name="QBLegalAddress2" hidden="1">'Supporting Settings'!$H$7</definedName>
    <definedName name="QBLegalCity" hidden="1">'Supporting Settings'!$H$8</definedName>
    <definedName name="QBLegalCompanyName" hidden="1">'Supporting Settings'!$H$5</definedName>
    <definedName name="QBLegalCountry" hidden="1">'Supporting Settings'!$H$11</definedName>
    <definedName name="QBLegalState" hidden="1">'Supporting Settings'!$H$9</definedName>
    <definedName name="QBLegalZip" hidden="1">'Supporting Settings'!$H$10</definedName>
    <definedName name="QBMajorVersion" hidden="1">'Supporting Settings'!$H$15</definedName>
    <definedName name="QBMinorVersion" hidden="1">'Supporting Settings'!$H$16</definedName>
    <definedName name="QBPayrollSub" hidden="1">'Supporting Settings'!$H$25</definedName>
    <definedName name="QBPayrollSubStatus" hidden="1">'Supporting Settings'!$H$26</definedName>
    <definedName name="QBProductFullName" hidden="1">'Supporting Settings'!$H$12</definedName>
    <definedName name="QBProductSKUName" hidden="1">'Supporting Settings'!$H$13</definedName>
    <definedName name="QBRegistrationNumber" hidden="1">'Supporting Settings'!$H$14</definedName>
    <definedName name="QBRelease" hidden="1">'Supporting Settings'!$H$17</definedName>
    <definedName name="QBSerialNumber" hidden="1">'Supporting Settings'!$H$18</definedName>
    <definedName name="QBSKU" localSheetId="9" hidden="1">'[1]Supporting Settings'!#REF!</definedName>
    <definedName name="QBSKU" hidden="1">'Supporting Settings'!#REF!</definedName>
    <definedName name="QBStartupDirectory" hidden="1">'Supporting Settings'!$H$19</definedName>
    <definedName name="QBTaxFormName" hidden="1">'Supporting Settings'!$H$24</definedName>
    <definedName name="QuickBooksComparisonData">DataComparison!#REF!</definedName>
    <definedName name="QuickBooksData" localSheetId="13">Data!#REF!</definedName>
    <definedName name="QuickBooksData" localSheetId="11">Data!#REF!</definedName>
    <definedName name="QuickBooksData" hidden="1">Data!$A$1</definedName>
    <definedName name="QuickBooksDataPriorInterface">DataPriorInterface!#REF!</definedName>
    <definedName name="QuickBooksDataPriorYear" localSheetId="13">DataPriorYear!#REF!</definedName>
    <definedName name="QuickBooksDataPriorYear" hidden="1">DataPriorYear!$A$1</definedName>
    <definedName name="ShowFinishedMessage" hidden="1">'Supporting Settings'!$B$8</definedName>
    <definedName name="ShowNewUserMessage" hidden="1">'Supporting Settings'!$B$7</definedName>
    <definedName name="ShowUpdateOnOpen" hidden="1">'Supporting Settings'!$B$9</definedName>
    <definedName name="StartDate" hidden="1">'Supporting Settings'!$B$3</definedName>
    <definedName name="ToolBarLeft" hidden="1">'Supporting Settings'!$B$23</definedName>
    <definedName name="ToolBarRowIndex" hidden="1">'Supporting Settings'!$B$36</definedName>
    <definedName name="ToolBarTop" hidden="1">'Supporting Settings'!$B$22</definedName>
    <definedName name="ToolBarView" hidden="1">'Supporting Settings'!$B$21</definedName>
    <definedName name="UpdateReportColumnWidths" hidden="1">'Supporting Settings'!$B$13</definedName>
    <definedName name="UseQBCoInfo" hidden="1">'Supporting Settings'!$B$30</definedName>
    <definedName name="Version_Number" hidden="1">'Supporting Settings'!$B$2</definedName>
  </definedNames>
  <calcPr calcId="162913" fullCalcOnLoad="1"/>
</workbook>
</file>

<file path=xl/calcChain.xml><?xml version="1.0" encoding="utf-8"?>
<calcChain xmlns="http://schemas.openxmlformats.org/spreadsheetml/2006/main">
  <c r="L43" i="82" l="1"/>
  <c r="E43" i="82"/>
  <c r="L38" i="82"/>
  <c r="K38" i="82"/>
  <c r="K43" i="82" s="1"/>
  <c r="J38" i="82"/>
  <c r="I38" i="82"/>
  <c r="I43" i="82" s="1"/>
  <c r="H38" i="82"/>
  <c r="G38" i="82"/>
  <c r="G43" i="82" s="1"/>
  <c r="F38" i="82"/>
  <c r="E38" i="82"/>
  <c r="D38" i="82"/>
  <c r="E25" i="82"/>
  <c r="E30" i="82" s="1"/>
  <c r="D25" i="82"/>
  <c r="N11" i="82"/>
  <c r="M11" i="82"/>
  <c r="E11" i="82"/>
  <c r="N6" i="82"/>
  <c r="M6" i="82"/>
  <c r="L6" i="82"/>
  <c r="K6" i="82"/>
  <c r="K11" i="82" s="1"/>
  <c r="C16" i="82" s="1"/>
  <c r="J6" i="82"/>
  <c r="I6" i="82"/>
  <c r="I11" i="82" s="1"/>
  <c r="C15" i="82" s="1"/>
  <c r="H6" i="82"/>
  <c r="G6" i="82"/>
  <c r="G11" i="82" s="1"/>
  <c r="F6" i="82"/>
  <c r="E6" i="82"/>
  <c r="D6" i="82"/>
  <c r="Q127" i="25"/>
  <c r="P127" i="25"/>
  <c r="O127" i="25"/>
  <c r="N127" i="25"/>
  <c r="M127" i="25"/>
  <c r="L127" i="25"/>
  <c r="K127" i="25"/>
  <c r="J127" i="25"/>
  <c r="I127" i="25"/>
  <c r="H127" i="25"/>
  <c r="G127" i="25"/>
  <c r="R125" i="25"/>
  <c r="R123" i="25"/>
  <c r="R121" i="25"/>
  <c r="R119" i="25"/>
  <c r="R117" i="25"/>
  <c r="R115" i="25"/>
  <c r="R113" i="25"/>
  <c r="R111" i="25"/>
  <c r="R109" i="25"/>
  <c r="R107" i="25"/>
  <c r="R105" i="25"/>
  <c r="R103" i="25"/>
  <c r="R101" i="25"/>
  <c r="R99" i="25"/>
  <c r="R97" i="25"/>
  <c r="R95" i="25"/>
  <c r="R93" i="25"/>
  <c r="R91" i="25"/>
  <c r="R89" i="25"/>
  <c r="R87" i="25"/>
  <c r="R85" i="25"/>
  <c r="R83" i="25"/>
  <c r="R81" i="25"/>
  <c r="R79" i="25"/>
  <c r="R77" i="25"/>
  <c r="R75" i="25"/>
  <c r="R73" i="25"/>
  <c r="R71" i="25"/>
  <c r="R69" i="25"/>
  <c r="R67" i="25"/>
  <c r="R65" i="25"/>
  <c r="R63" i="25"/>
  <c r="R61" i="25"/>
  <c r="R59" i="25"/>
  <c r="R57" i="25"/>
  <c r="R55" i="25"/>
  <c r="R53" i="25"/>
  <c r="R51" i="25"/>
  <c r="R49" i="25"/>
  <c r="R47" i="25"/>
  <c r="R45" i="25"/>
  <c r="R43" i="25"/>
  <c r="R41" i="25"/>
  <c r="R39" i="25"/>
  <c r="R37" i="25"/>
  <c r="R35" i="25"/>
  <c r="R33" i="25"/>
  <c r="R31" i="25"/>
  <c r="R29" i="25"/>
  <c r="R27" i="25"/>
  <c r="R25" i="25"/>
  <c r="R23" i="25"/>
  <c r="R21" i="25"/>
  <c r="R19" i="25"/>
  <c r="R17" i="25"/>
  <c r="R15" i="25"/>
  <c r="R13" i="25"/>
  <c r="R11" i="25"/>
  <c r="R9" i="25"/>
  <c r="R7" i="25"/>
  <c r="R5" i="25"/>
  <c r="N626" i="20"/>
  <c r="M626" i="20"/>
  <c r="J626" i="20"/>
  <c r="I626" i="20"/>
  <c r="G626" i="20"/>
  <c r="F626" i="20"/>
  <c r="D626" i="20"/>
  <c r="J627" i="20" s="1"/>
  <c r="C626" i="20"/>
  <c r="I627" i="20" s="1"/>
  <c r="B626" i="20"/>
  <c r="J614" i="20"/>
  <c r="N613" i="20"/>
  <c r="M613" i="20"/>
  <c r="J613" i="20"/>
  <c r="I613" i="20"/>
  <c r="G613" i="20"/>
  <c r="F613" i="20"/>
  <c r="D613" i="20"/>
  <c r="C613" i="20"/>
  <c r="I614" i="20" s="1"/>
  <c r="B613" i="20"/>
  <c r="N603" i="20"/>
  <c r="M603" i="20"/>
  <c r="J603" i="20"/>
  <c r="I603" i="20"/>
  <c r="G603" i="20"/>
  <c r="F603" i="20"/>
  <c r="D603" i="20"/>
  <c r="J604" i="20" s="1"/>
  <c r="C603" i="20"/>
  <c r="I604" i="20" s="1"/>
  <c r="B603" i="20"/>
  <c r="N593" i="20"/>
  <c r="M593" i="20"/>
  <c r="J593" i="20"/>
  <c r="I593" i="20"/>
  <c r="G593" i="20"/>
  <c r="F593" i="20"/>
  <c r="D593" i="20"/>
  <c r="J594" i="20" s="1"/>
  <c r="C593" i="20"/>
  <c r="I594" i="20" s="1"/>
  <c r="B593" i="20"/>
  <c r="N583" i="20"/>
  <c r="M583" i="20"/>
  <c r="J583" i="20"/>
  <c r="I583" i="20"/>
  <c r="G583" i="20"/>
  <c r="F583" i="20"/>
  <c r="D583" i="20"/>
  <c r="J584" i="20" s="1"/>
  <c r="C583" i="20"/>
  <c r="I584" i="20" s="1"/>
  <c r="B583" i="20"/>
  <c r="N573" i="20"/>
  <c r="M573" i="20"/>
  <c r="J573" i="20"/>
  <c r="I573" i="20"/>
  <c r="G573" i="20"/>
  <c r="F573" i="20"/>
  <c r="D573" i="20"/>
  <c r="J574" i="20" s="1"/>
  <c r="C573" i="20"/>
  <c r="I574" i="20" s="1"/>
  <c r="B573" i="20"/>
  <c r="N563" i="20"/>
  <c r="M563" i="20"/>
  <c r="J563" i="20"/>
  <c r="I563" i="20"/>
  <c r="G563" i="20"/>
  <c r="F563" i="20"/>
  <c r="D563" i="20"/>
  <c r="J564" i="20" s="1"/>
  <c r="C563" i="20"/>
  <c r="I564" i="20" s="1"/>
  <c r="B563" i="20"/>
  <c r="N553" i="20"/>
  <c r="M553" i="20"/>
  <c r="J553" i="20"/>
  <c r="I553" i="20"/>
  <c r="G553" i="20"/>
  <c r="F553" i="20"/>
  <c r="D553" i="20"/>
  <c r="J554" i="20" s="1"/>
  <c r="C553" i="20"/>
  <c r="I554" i="20" s="1"/>
  <c r="B553" i="20"/>
  <c r="N543" i="20"/>
  <c r="M543" i="20"/>
  <c r="J543" i="20"/>
  <c r="I543" i="20"/>
  <c r="G543" i="20"/>
  <c r="F543" i="20"/>
  <c r="D543" i="20"/>
  <c r="J544" i="20" s="1"/>
  <c r="C543" i="20"/>
  <c r="I544" i="20" s="1"/>
  <c r="B543" i="20"/>
  <c r="N533" i="20"/>
  <c r="M533" i="20"/>
  <c r="J533" i="20"/>
  <c r="I533" i="20"/>
  <c r="G533" i="20"/>
  <c r="F533" i="20"/>
  <c r="D533" i="20"/>
  <c r="J534" i="20" s="1"/>
  <c r="C533" i="20"/>
  <c r="I534" i="20" s="1"/>
  <c r="B533" i="20"/>
  <c r="N523" i="20"/>
  <c r="M523" i="20"/>
  <c r="J523" i="20"/>
  <c r="I523" i="20"/>
  <c r="G523" i="20"/>
  <c r="F523" i="20"/>
  <c r="D523" i="20"/>
  <c r="J524" i="20" s="1"/>
  <c r="C523" i="20"/>
  <c r="I524" i="20" s="1"/>
  <c r="B523" i="20"/>
  <c r="N513" i="20"/>
  <c r="M513" i="20"/>
  <c r="J513" i="20"/>
  <c r="I513" i="20"/>
  <c r="G513" i="20"/>
  <c r="F513" i="20"/>
  <c r="D513" i="20"/>
  <c r="J514" i="20" s="1"/>
  <c r="C513" i="20"/>
  <c r="I514" i="20" s="1"/>
  <c r="B513" i="20"/>
  <c r="N503" i="20"/>
  <c r="M503" i="20"/>
  <c r="J503" i="20"/>
  <c r="I503" i="20"/>
  <c r="G503" i="20"/>
  <c r="F503" i="20"/>
  <c r="D503" i="20"/>
  <c r="J504" i="20" s="1"/>
  <c r="C503" i="20"/>
  <c r="I504" i="20" s="1"/>
  <c r="B503" i="20"/>
  <c r="N493" i="20"/>
  <c r="M493" i="20"/>
  <c r="J493" i="20"/>
  <c r="I493" i="20"/>
  <c r="G493" i="20"/>
  <c r="F493" i="20"/>
  <c r="D493" i="20"/>
  <c r="J494" i="20" s="1"/>
  <c r="C493" i="20"/>
  <c r="I494" i="20" s="1"/>
  <c r="B493" i="20"/>
  <c r="N483" i="20"/>
  <c r="M483" i="20"/>
  <c r="J483" i="20"/>
  <c r="I483" i="20"/>
  <c r="G483" i="20"/>
  <c r="F483" i="20"/>
  <c r="D483" i="20"/>
  <c r="J484" i="20" s="1"/>
  <c r="C483" i="20"/>
  <c r="I484" i="20" s="1"/>
  <c r="B483" i="20"/>
  <c r="N473" i="20"/>
  <c r="M473" i="20"/>
  <c r="J473" i="20"/>
  <c r="I473" i="20"/>
  <c r="G473" i="20"/>
  <c r="F473" i="20"/>
  <c r="D473" i="20"/>
  <c r="J474" i="20" s="1"/>
  <c r="C473" i="20"/>
  <c r="I474" i="20" s="1"/>
  <c r="B473" i="20"/>
  <c r="N463" i="20"/>
  <c r="M463" i="20"/>
  <c r="J463" i="20"/>
  <c r="I463" i="20"/>
  <c r="G463" i="20"/>
  <c r="F463" i="20"/>
  <c r="D463" i="20"/>
  <c r="J464" i="20" s="1"/>
  <c r="C463" i="20"/>
  <c r="I464" i="20" s="1"/>
  <c r="B463" i="20"/>
  <c r="N453" i="20"/>
  <c r="M453" i="20"/>
  <c r="J453" i="20"/>
  <c r="I453" i="20"/>
  <c r="G453" i="20"/>
  <c r="F453" i="20"/>
  <c r="D453" i="20"/>
  <c r="J454" i="20" s="1"/>
  <c r="C453" i="20"/>
  <c r="I454" i="20" s="1"/>
  <c r="B453" i="20"/>
  <c r="N443" i="20"/>
  <c r="M443" i="20"/>
  <c r="J443" i="20"/>
  <c r="I443" i="20"/>
  <c r="G443" i="20"/>
  <c r="F443" i="20"/>
  <c r="D443" i="20"/>
  <c r="J444" i="20" s="1"/>
  <c r="C443" i="20"/>
  <c r="I444" i="20" s="1"/>
  <c r="B443" i="20"/>
  <c r="N433" i="20"/>
  <c r="M433" i="20"/>
  <c r="J433" i="20"/>
  <c r="I433" i="20"/>
  <c r="G433" i="20"/>
  <c r="F433" i="20"/>
  <c r="D433" i="20"/>
  <c r="J434" i="20" s="1"/>
  <c r="C433" i="20"/>
  <c r="I434" i="20" s="1"/>
  <c r="B433" i="20"/>
  <c r="N423" i="20"/>
  <c r="M423" i="20"/>
  <c r="J423" i="20"/>
  <c r="I423" i="20"/>
  <c r="G423" i="20"/>
  <c r="F423" i="20"/>
  <c r="D423" i="20"/>
  <c r="J424" i="20" s="1"/>
  <c r="C423" i="20"/>
  <c r="I424" i="20" s="1"/>
  <c r="B423" i="20"/>
  <c r="N413" i="20"/>
  <c r="M413" i="20"/>
  <c r="J413" i="20"/>
  <c r="I413" i="20"/>
  <c r="G413" i="20"/>
  <c r="F413" i="20"/>
  <c r="D413" i="20"/>
  <c r="J414" i="20" s="1"/>
  <c r="C413" i="20"/>
  <c r="I414" i="20" s="1"/>
  <c r="B413" i="20"/>
  <c r="N403" i="20"/>
  <c r="M403" i="20"/>
  <c r="J403" i="20"/>
  <c r="I403" i="20"/>
  <c r="G403" i="20"/>
  <c r="F403" i="20"/>
  <c r="D403" i="20"/>
  <c r="J404" i="20" s="1"/>
  <c r="C403" i="20"/>
  <c r="I404" i="20" s="1"/>
  <c r="B403" i="20"/>
  <c r="N393" i="20"/>
  <c r="M393" i="20"/>
  <c r="J393" i="20"/>
  <c r="I393" i="20"/>
  <c r="G393" i="20"/>
  <c r="F393" i="20"/>
  <c r="D393" i="20"/>
  <c r="J394" i="20" s="1"/>
  <c r="C393" i="20"/>
  <c r="I394" i="20" s="1"/>
  <c r="B393" i="20"/>
  <c r="N383" i="20"/>
  <c r="M383" i="20"/>
  <c r="J383" i="20"/>
  <c r="I383" i="20"/>
  <c r="G383" i="20"/>
  <c r="F383" i="20"/>
  <c r="D383" i="20"/>
  <c r="J384" i="20" s="1"/>
  <c r="C383" i="20"/>
  <c r="I384" i="20" s="1"/>
  <c r="B383" i="20"/>
  <c r="N373" i="20"/>
  <c r="M373" i="20"/>
  <c r="J373" i="20"/>
  <c r="I373" i="20"/>
  <c r="G373" i="20"/>
  <c r="F373" i="20"/>
  <c r="D373" i="20"/>
  <c r="J374" i="20" s="1"/>
  <c r="C373" i="20"/>
  <c r="I374" i="20" s="1"/>
  <c r="B373" i="20"/>
  <c r="N363" i="20"/>
  <c r="M363" i="20"/>
  <c r="J363" i="20"/>
  <c r="I363" i="20"/>
  <c r="G363" i="20"/>
  <c r="F363" i="20"/>
  <c r="D363" i="20"/>
  <c r="J364" i="20" s="1"/>
  <c r="C363" i="20"/>
  <c r="I364" i="20" s="1"/>
  <c r="B363" i="20"/>
  <c r="N353" i="20"/>
  <c r="M353" i="20"/>
  <c r="J353" i="20"/>
  <c r="I353" i="20"/>
  <c r="G353" i="20"/>
  <c r="F353" i="20"/>
  <c r="D353" i="20"/>
  <c r="J354" i="20" s="1"/>
  <c r="C353" i="20"/>
  <c r="I354" i="20" s="1"/>
  <c r="B353" i="20"/>
  <c r="N343" i="20"/>
  <c r="M343" i="20"/>
  <c r="J343" i="20"/>
  <c r="I343" i="20"/>
  <c r="G343" i="20"/>
  <c r="F343" i="20"/>
  <c r="D343" i="20"/>
  <c r="J344" i="20" s="1"/>
  <c r="C343" i="20"/>
  <c r="I344" i="20" s="1"/>
  <c r="B343" i="20"/>
  <c r="N333" i="20"/>
  <c r="M333" i="20"/>
  <c r="J333" i="20"/>
  <c r="I333" i="20"/>
  <c r="G333" i="20"/>
  <c r="F333" i="20"/>
  <c r="D333" i="20"/>
  <c r="J334" i="20" s="1"/>
  <c r="C333" i="20"/>
  <c r="I334" i="20" s="1"/>
  <c r="B333" i="20"/>
  <c r="N323" i="20"/>
  <c r="M323" i="20"/>
  <c r="J323" i="20"/>
  <c r="I323" i="20"/>
  <c r="G323" i="20"/>
  <c r="F323" i="20"/>
  <c r="D323" i="20"/>
  <c r="J324" i="20" s="1"/>
  <c r="C323" i="20"/>
  <c r="I324" i="20" s="1"/>
  <c r="B323" i="20"/>
  <c r="N313" i="20"/>
  <c r="M313" i="20"/>
  <c r="J313" i="20"/>
  <c r="I313" i="20"/>
  <c r="G313" i="20"/>
  <c r="F313" i="20"/>
  <c r="D313" i="20"/>
  <c r="J314" i="20" s="1"/>
  <c r="C313" i="20"/>
  <c r="I314" i="20" s="1"/>
  <c r="B313" i="20"/>
  <c r="N303" i="20"/>
  <c r="M303" i="20"/>
  <c r="J303" i="20"/>
  <c r="I303" i="20"/>
  <c r="G303" i="20"/>
  <c r="F303" i="20"/>
  <c r="D303" i="20"/>
  <c r="J304" i="20" s="1"/>
  <c r="C303" i="20"/>
  <c r="I304" i="20" s="1"/>
  <c r="B303" i="20"/>
  <c r="N293" i="20"/>
  <c r="M293" i="20"/>
  <c r="J293" i="20"/>
  <c r="I293" i="20"/>
  <c r="G293" i="20"/>
  <c r="F293" i="20"/>
  <c r="D293" i="20"/>
  <c r="J294" i="20" s="1"/>
  <c r="C293" i="20"/>
  <c r="I294" i="20" s="1"/>
  <c r="B293" i="20"/>
  <c r="N283" i="20"/>
  <c r="M283" i="20"/>
  <c r="J283" i="20"/>
  <c r="I283" i="20"/>
  <c r="G283" i="20"/>
  <c r="F283" i="20"/>
  <c r="D283" i="20"/>
  <c r="J284" i="20" s="1"/>
  <c r="C283" i="20"/>
  <c r="I284" i="20" s="1"/>
  <c r="B283" i="20"/>
  <c r="N273" i="20"/>
  <c r="M273" i="20"/>
  <c r="J273" i="20"/>
  <c r="I273" i="20"/>
  <c r="G273" i="20"/>
  <c r="F273" i="20"/>
  <c r="D273" i="20"/>
  <c r="J274" i="20" s="1"/>
  <c r="C273" i="20"/>
  <c r="I274" i="20" s="1"/>
  <c r="B273" i="20"/>
  <c r="N263" i="20"/>
  <c r="M263" i="20"/>
  <c r="J263" i="20"/>
  <c r="I263" i="20"/>
  <c r="G263" i="20"/>
  <c r="F263" i="20"/>
  <c r="D263" i="20"/>
  <c r="J264" i="20" s="1"/>
  <c r="C263" i="20"/>
  <c r="I264" i="20" s="1"/>
  <c r="B263" i="20"/>
  <c r="N253" i="20"/>
  <c r="M253" i="20"/>
  <c r="J253" i="20"/>
  <c r="I253" i="20"/>
  <c r="G253" i="20"/>
  <c r="F253" i="20"/>
  <c r="D253" i="20"/>
  <c r="J254" i="20" s="1"/>
  <c r="C253" i="20"/>
  <c r="I254" i="20" s="1"/>
  <c r="B253" i="20"/>
  <c r="N243" i="20"/>
  <c r="M243" i="20"/>
  <c r="J243" i="20"/>
  <c r="I243" i="20"/>
  <c r="G243" i="20"/>
  <c r="F243" i="20"/>
  <c r="D243" i="20"/>
  <c r="J244" i="20" s="1"/>
  <c r="C243" i="20"/>
  <c r="I244" i="20" s="1"/>
  <c r="B243" i="20"/>
  <c r="N233" i="20"/>
  <c r="M233" i="20"/>
  <c r="J233" i="20"/>
  <c r="I233" i="20"/>
  <c r="G233" i="20"/>
  <c r="F233" i="20"/>
  <c r="D233" i="20"/>
  <c r="J234" i="20" s="1"/>
  <c r="C233" i="20"/>
  <c r="I234" i="20" s="1"/>
  <c r="B233" i="20"/>
  <c r="N223" i="20"/>
  <c r="M223" i="20"/>
  <c r="J223" i="20"/>
  <c r="I223" i="20"/>
  <c r="G223" i="20"/>
  <c r="F223" i="20"/>
  <c r="D223" i="20"/>
  <c r="J224" i="20" s="1"/>
  <c r="C223" i="20"/>
  <c r="I224" i="20" s="1"/>
  <c r="B223" i="20"/>
  <c r="N213" i="20"/>
  <c r="M213" i="20"/>
  <c r="J213" i="20"/>
  <c r="I213" i="20"/>
  <c r="G213" i="20"/>
  <c r="F213" i="20"/>
  <c r="D213" i="20"/>
  <c r="J214" i="20" s="1"/>
  <c r="C213" i="20"/>
  <c r="I214" i="20" s="1"/>
  <c r="B213" i="20"/>
  <c r="N203" i="20"/>
  <c r="M203" i="20"/>
  <c r="J203" i="20"/>
  <c r="I203" i="20"/>
  <c r="G203" i="20"/>
  <c r="F203" i="20"/>
  <c r="D203" i="20"/>
  <c r="J204" i="20" s="1"/>
  <c r="C203" i="20"/>
  <c r="I204" i="20" s="1"/>
  <c r="B203" i="20"/>
  <c r="N193" i="20"/>
  <c r="M193" i="20"/>
  <c r="J193" i="20"/>
  <c r="I193" i="20"/>
  <c r="G193" i="20"/>
  <c r="F193" i="20"/>
  <c r="D193" i="20"/>
  <c r="J194" i="20" s="1"/>
  <c r="C193" i="20"/>
  <c r="I194" i="20" s="1"/>
  <c r="B193" i="20"/>
  <c r="N183" i="20"/>
  <c r="M183" i="20"/>
  <c r="J183" i="20"/>
  <c r="I183" i="20"/>
  <c r="G183" i="20"/>
  <c r="F183" i="20"/>
  <c r="D183" i="20"/>
  <c r="J184" i="20" s="1"/>
  <c r="C183" i="20"/>
  <c r="I184" i="20" s="1"/>
  <c r="B183" i="20"/>
  <c r="N173" i="20"/>
  <c r="M173" i="20"/>
  <c r="J173" i="20"/>
  <c r="I173" i="20"/>
  <c r="G173" i="20"/>
  <c r="F173" i="20"/>
  <c r="D173" i="20"/>
  <c r="J174" i="20" s="1"/>
  <c r="C173" i="20"/>
  <c r="I174" i="20" s="1"/>
  <c r="B173" i="20"/>
  <c r="N163" i="20"/>
  <c r="M163" i="20"/>
  <c r="J163" i="20"/>
  <c r="I163" i="20"/>
  <c r="G163" i="20"/>
  <c r="F163" i="20"/>
  <c r="D163" i="20"/>
  <c r="J164" i="20" s="1"/>
  <c r="C163" i="20"/>
  <c r="I164" i="20" s="1"/>
  <c r="B163" i="20"/>
  <c r="N153" i="20"/>
  <c r="M153" i="20"/>
  <c r="J153" i="20"/>
  <c r="I153" i="20"/>
  <c r="G153" i="20"/>
  <c r="F153" i="20"/>
  <c r="D153" i="20"/>
  <c r="J154" i="20" s="1"/>
  <c r="C153" i="20"/>
  <c r="I154" i="20" s="1"/>
  <c r="B153" i="20"/>
  <c r="N143" i="20"/>
  <c r="M143" i="20"/>
  <c r="J143" i="20"/>
  <c r="I143" i="20"/>
  <c r="G143" i="20"/>
  <c r="F143" i="20"/>
  <c r="D143" i="20"/>
  <c r="J144" i="20" s="1"/>
  <c r="C143" i="20"/>
  <c r="I144" i="20" s="1"/>
  <c r="B143" i="20"/>
  <c r="N133" i="20"/>
  <c r="M133" i="20"/>
  <c r="J133" i="20"/>
  <c r="I133" i="20"/>
  <c r="G133" i="20"/>
  <c r="F133" i="20"/>
  <c r="D133" i="20"/>
  <c r="J134" i="20" s="1"/>
  <c r="C133" i="20"/>
  <c r="I134" i="20" s="1"/>
  <c r="B133" i="20"/>
  <c r="N123" i="20"/>
  <c r="M123" i="20"/>
  <c r="J123" i="20"/>
  <c r="I123" i="20"/>
  <c r="G123" i="20"/>
  <c r="F123" i="20"/>
  <c r="D123" i="20"/>
  <c r="J124" i="20" s="1"/>
  <c r="C123" i="20"/>
  <c r="I124" i="20" s="1"/>
  <c r="B123" i="20"/>
  <c r="N113" i="20"/>
  <c r="M113" i="20"/>
  <c r="J113" i="20"/>
  <c r="I113" i="20"/>
  <c r="G113" i="20"/>
  <c r="F113" i="20"/>
  <c r="D113" i="20"/>
  <c r="J114" i="20" s="1"/>
  <c r="C113" i="20"/>
  <c r="I114" i="20" s="1"/>
  <c r="B113" i="20"/>
  <c r="N103" i="20"/>
  <c r="M103" i="20"/>
  <c r="J103" i="20"/>
  <c r="I103" i="20"/>
  <c r="G103" i="20"/>
  <c r="F103" i="20"/>
  <c r="D103" i="20"/>
  <c r="J104" i="20" s="1"/>
  <c r="C103" i="20"/>
  <c r="I104" i="20" s="1"/>
  <c r="B103" i="20"/>
  <c r="N93" i="20"/>
  <c r="M93" i="20"/>
  <c r="J93" i="20"/>
  <c r="I93" i="20"/>
  <c r="G93" i="20"/>
  <c r="F93" i="20"/>
  <c r="D93" i="20"/>
  <c r="J94" i="20" s="1"/>
  <c r="C93" i="20"/>
  <c r="I94" i="20" s="1"/>
  <c r="B93" i="20"/>
  <c r="N83" i="20"/>
  <c r="M83" i="20"/>
  <c r="J83" i="20"/>
  <c r="I83" i="20"/>
  <c r="G83" i="20"/>
  <c r="F83" i="20"/>
  <c r="D83" i="20"/>
  <c r="J84" i="20" s="1"/>
  <c r="C83" i="20"/>
  <c r="I84" i="20" s="1"/>
  <c r="B83" i="20"/>
  <c r="N73" i="20"/>
  <c r="M73" i="20"/>
  <c r="J73" i="20"/>
  <c r="I73" i="20"/>
  <c r="G73" i="20"/>
  <c r="F73" i="20"/>
  <c r="D73" i="20"/>
  <c r="J74" i="20" s="1"/>
  <c r="C73" i="20"/>
  <c r="I74" i="20" s="1"/>
  <c r="B73" i="20"/>
  <c r="N63" i="20"/>
  <c r="M63" i="20"/>
  <c r="J63" i="20"/>
  <c r="I63" i="20"/>
  <c r="G63" i="20"/>
  <c r="F63" i="20"/>
  <c r="D63" i="20"/>
  <c r="J64" i="20" s="1"/>
  <c r="C63" i="20"/>
  <c r="I64" i="20" s="1"/>
  <c r="B63" i="20"/>
  <c r="N53" i="20"/>
  <c r="M53" i="20"/>
  <c r="J53" i="20"/>
  <c r="I53" i="20"/>
  <c r="G53" i="20"/>
  <c r="F53" i="20"/>
  <c r="D53" i="20"/>
  <c r="J54" i="20" s="1"/>
  <c r="C53" i="20"/>
  <c r="I54" i="20" s="1"/>
  <c r="B53" i="20"/>
  <c r="N43" i="20"/>
  <c r="M43" i="20"/>
  <c r="J43" i="20"/>
  <c r="I43" i="20"/>
  <c r="G43" i="20"/>
  <c r="F43" i="20"/>
  <c r="D43" i="20"/>
  <c r="J44" i="20" s="1"/>
  <c r="C43" i="20"/>
  <c r="I44" i="20" s="1"/>
  <c r="B43" i="20"/>
  <c r="N33" i="20"/>
  <c r="M33" i="20"/>
  <c r="J33" i="20"/>
  <c r="I33" i="20"/>
  <c r="G33" i="20"/>
  <c r="F33" i="20"/>
  <c r="D33" i="20"/>
  <c r="J34" i="20" s="1"/>
  <c r="C33" i="20"/>
  <c r="I34" i="20" s="1"/>
  <c r="B33" i="20"/>
  <c r="N23" i="20"/>
  <c r="M23" i="20"/>
  <c r="J23" i="20"/>
  <c r="I23" i="20"/>
  <c r="G23" i="20"/>
  <c r="F23" i="20"/>
  <c r="D23" i="20"/>
  <c r="J24" i="20" s="1"/>
  <c r="C23" i="20"/>
  <c r="I24" i="20" s="1"/>
  <c r="B23" i="20"/>
  <c r="N13" i="20"/>
  <c r="M13" i="20"/>
  <c r="J13" i="20"/>
  <c r="I13" i="20"/>
  <c r="G13" i="20"/>
  <c r="F13" i="20"/>
  <c r="D13" i="20"/>
  <c r="J14" i="20" s="1"/>
  <c r="C13" i="20"/>
  <c r="I14" i="20" s="1"/>
  <c r="B13" i="20"/>
  <c r="B1" i="15"/>
  <c r="C17" i="82" l="1"/>
  <c r="C14" i="82"/>
  <c r="R127" i="25"/>
</calcChain>
</file>

<file path=xl/sharedStrings.xml><?xml version="1.0" encoding="utf-8"?>
<sst xmlns="http://schemas.openxmlformats.org/spreadsheetml/2006/main" count="2553" uniqueCount="457">
  <si>
    <t>Version Number</t>
  </si>
  <si>
    <t>QBCurrentFiscalYear</t>
  </si>
  <si>
    <t>StartDate</t>
  </si>
  <si>
    <t>QBCurrentTaxYear</t>
  </si>
  <si>
    <t>EndDate</t>
  </si>
  <si>
    <t>QBFederalID</t>
  </si>
  <si>
    <t>LastStartDate</t>
  </si>
  <si>
    <t>QBLegalCompanyName</t>
  </si>
  <si>
    <t>LastEndDate</t>
  </si>
  <si>
    <t>QBLegalAddress1</t>
  </si>
  <si>
    <t>ShowNewUserMessage</t>
  </si>
  <si>
    <t>QBLegalAddress2</t>
  </si>
  <si>
    <t>ShowFinishedMessage</t>
  </si>
  <si>
    <t>QBLegalCity</t>
  </si>
  <si>
    <t>ShowUpdateOnOpen</t>
  </si>
  <si>
    <t>QBLegalState</t>
  </si>
  <si>
    <t>OnErrorResume</t>
  </si>
  <si>
    <t>QBLegalZip</t>
  </si>
  <si>
    <t>HideActivity</t>
  </si>
  <si>
    <t>QBRegistrationNumber</t>
  </si>
  <si>
    <t>HideData</t>
  </si>
  <si>
    <t>DateRangeSelected</t>
  </si>
  <si>
    <t>ToolBarView</t>
  </si>
  <si>
    <t>ToolBarTop</t>
  </si>
  <si>
    <t>ToolBarLeft</t>
  </si>
  <si>
    <t>ConvertNamesUpper</t>
  </si>
  <si>
    <t>ClipFirstName</t>
  </si>
  <si>
    <t>ClipMI</t>
  </si>
  <si>
    <t>ClipLastName</t>
  </si>
  <si>
    <t>LastUpdateFromQB</t>
  </si>
  <si>
    <t>FirstUsedDate</t>
  </si>
  <si>
    <t>UseQBCoInfo</t>
  </si>
  <si>
    <t>DrillDownSupport</t>
  </si>
  <si>
    <t>GetDataStartTime</t>
  </si>
  <si>
    <t>GetDataEndTime</t>
  </si>
  <si>
    <t>ConsolidateData</t>
  </si>
  <si>
    <t>EECustomData</t>
  </si>
  <si>
    <t>ToolBarRowIndex</t>
  </si>
  <si>
    <t>Custom1</t>
  </si>
  <si>
    <t>Custom2</t>
  </si>
  <si>
    <t>Custom3</t>
  </si>
  <si>
    <t>Custom4</t>
  </si>
  <si>
    <t>These are the user titles for EE custom settings. Don't move them:</t>
  </si>
  <si>
    <t>UpdateReportColumnWidths</t>
  </si>
  <si>
    <t>MinimumWage</t>
  </si>
  <si>
    <t>maskSSN</t>
  </si>
  <si>
    <t>extra</t>
  </si>
  <si>
    <t>Payroll Expense Charts</t>
  </si>
  <si>
    <t>DateRange</t>
  </si>
  <si>
    <r>
      <t>Excel 2007</t>
    </r>
    <r>
      <rPr>
        <b/>
        <sz val="9"/>
        <rFont val="Tahoma"/>
        <family val="2"/>
      </rPr>
      <t/>
    </r>
  </si>
  <si>
    <t>QBProductFullName</t>
  </si>
  <si>
    <t>QBProductSKUName</t>
  </si>
  <si>
    <t>QBMajorVersion</t>
  </si>
  <si>
    <t>QBMinorVersion</t>
  </si>
  <si>
    <t>QBRelease</t>
  </si>
  <si>
    <t>QBSerialNumber</t>
  </si>
  <si>
    <t>QBStartupDirectory</t>
  </si>
  <si>
    <t>QBCoFileGUID</t>
  </si>
  <si>
    <t>QBCoCreateID</t>
  </si>
  <si>
    <t>QBFileName</t>
  </si>
  <si>
    <t>QBCompanyType</t>
  </si>
  <si>
    <t>QBTaxFormName</t>
  </si>
  <si>
    <t>QBPayrollSub</t>
  </si>
  <si>
    <t>QBPayrollSubStatus</t>
  </si>
  <si>
    <t>QBLegalCountry</t>
  </si>
  <si>
    <t>Mask ***-**-1234</t>
  </si>
  <si>
    <t>Please Turn on Macros</t>
  </si>
  <si>
    <r>
      <t xml:space="preserve">Before you can use this feature, you must enable macros.
</t>
    </r>
    <r>
      <rPr>
        <b/>
        <sz val="9"/>
        <color indexed="48"/>
        <rFont val="Arial"/>
        <family val="2"/>
      </rPr>
      <t>Use the steps for your Excel version:</t>
    </r>
  </si>
  <si>
    <r>
      <t>Excel 2000 - 2003</t>
    </r>
    <r>
      <rPr>
        <sz val="9"/>
        <rFont val="Tahoma"/>
        <family val="2"/>
      </rPr>
      <t/>
    </r>
  </si>
  <si>
    <r>
      <t>1.</t>
    </r>
    <r>
      <rPr>
        <sz val="9"/>
        <rFont val="Arial"/>
        <family val="2"/>
      </rPr>
      <t xml:space="preserve"> On the </t>
    </r>
    <r>
      <rPr>
        <b/>
        <sz val="9"/>
        <rFont val="Arial"/>
        <family val="2"/>
      </rPr>
      <t>Tools</t>
    </r>
    <r>
      <rPr>
        <sz val="9"/>
        <rFont val="Arial"/>
        <family val="2"/>
      </rPr>
      <t xml:space="preserve"> menu, click </t>
    </r>
    <r>
      <rPr>
        <b/>
        <sz val="9"/>
        <rFont val="Arial"/>
        <family val="2"/>
      </rPr>
      <t>Macro</t>
    </r>
    <r>
      <rPr>
        <sz val="9"/>
        <rFont val="Arial"/>
        <family val="2"/>
      </rPr>
      <t xml:space="preserve">, then click </t>
    </r>
    <r>
      <rPr>
        <b/>
        <sz val="9"/>
        <rFont val="Arial"/>
        <family val="2"/>
      </rPr>
      <t>Security</t>
    </r>
    <r>
      <rPr>
        <sz val="9"/>
        <rFont val="Arial"/>
        <family val="2"/>
      </rPr>
      <t>.</t>
    </r>
    <r>
      <rPr>
        <b/>
        <sz val="9"/>
        <rFont val="Arial"/>
        <family val="2"/>
      </rPr>
      <t xml:space="preserve"> </t>
    </r>
  </si>
  <si>
    <r>
      <t xml:space="preserve">2. </t>
    </r>
    <r>
      <rPr>
        <sz val="9"/>
        <rFont val="Arial"/>
        <family val="2"/>
      </rPr>
      <t>If the security level is set to:</t>
    </r>
  </si>
  <si>
    <r>
      <t xml:space="preserve">       • Very High: </t>
    </r>
    <r>
      <rPr>
        <sz val="9"/>
        <rFont val="Arial"/>
        <family val="2"/>
      </rPr>
      <t xml:space="preserve">Click any other option and click </t>
    </r>
    <r>
      <rPr>
        <b/>
        <sz val="9"/>
        <rFont val="Arial"/>
        <family val="2"/>
      </rPr>
      <t>OK</t>
    </r>
    <r>
      <rPr>
        <sz val="9"/>
        <rFont val="Arial"/>
        <family val="2"/>
      </rPr>
      <t xml:space="preserve"> to save and close the window.</t>
    </r>
  </si>
  <si>
    <r>
      <t xml:space="preserve">       • High, Medium, or Low: </t>
    </r>
    <r>
      <rPr>
        <sz val="9"/>
        <rFont val="Arial"/>
        <family val="2"/>
      </rPr>
      <t>Leave the option selected and click</t>
    </r>
    <r>
      <rPr>
        <b/>
        <sz val="9"/>
        <rFont val="Arial"/>
        <family val="2"/>
      </rPr>
      <t xml:space="preserve"> OK</t>
    </r>
    <r>
      <rPr>
        <sz val="9"/>
        <rFont val="Arial"/>
        <family val="2"/>
      </rPr>
      <t xml:space="preserve"> to close the window. </t>
    </r>
  </si>
  <si>
    <r>
      <t xml:space="preserve">3. </t>
    </r>
    <r>
      <rPr>
        <sz val="9"/>
        <rFont val="Arial"/>
        <family val="2"/>
      </rPr>
      <t>Close and then re-launch this workbook from QuickBooks.</t>
    </r>
  </si>
  <si>
    <r>
      <t xml:space="preserve">4. </t>
    </r>
    <r>
      <rPr>
        <sz val="9"/>
        <rFont val="Arial"/>
        <family val="2"/>
      </rPr>
      <t>If you are prompted to enable macros, click Enable Macros.</t>
    </r>
  </si>
  <si>
    <r>
      <t xml:space="preserve">       • </t>
    </r>
    <r>
      <rPr>
        <sz val="9"/>
        <rFont val="Arial"/>
        <family val="2"/>
      </rPr>
      <t xml:space="preserve">Depending on your security settings, also select  </t>
    </r>
    <r>
      <rPr>
        <b/>
        <sz val="9"/>
        <rFont val="Arial"/>
        <family val="2"/>
      </rPr>
      <t>Always trust macros from this publisher</t>
    </r>
    <r>
      <rPr>
        <sz val="9"/>
        <rFont val="Arial"/>
        <family val="2"/>
      </rPr>
      <t>.</t>
    </r>
  </si>
  <si>
    <r>
      <t xml:space="preserve">If you see a security warning and an </t>
    </r>
    <r>
      <rPr>
        <b/>
        <sz val="11"/>
        <color indexed="48"/>
        <rFont val="Arial"/>
        <family val="2"/>
      </rPr>
      <t>Options</t>
    </r>
    <r>
      <rPr>
        <b/>
        <sz val="10"/>
        <color indexed="48"/>
        <rFont val="Arial"/>
        <family val="2"/>
      </rPr>
      <t xml:space="preserve"> button above:</t>
    </r>
  </si>
  <si>
    <r>
      <t xml:space="preserve">1. </t>
    </r>
    <r>
      <rPr>
        <sz val="9"/>
        <rFont val="Arial"/>
        <family val="2"/>
      </rPr>
      <t>Click the Options button.</t>
    </r>
  </si>
  <si>
    <r>
      <t xml:space="preserve">2. </t>
    </r>
    <r>
      <rPr>
        <sz val="9"/>
        <rFont val="Arial"/>
        <family val="2"/>
      </rPr>
      <t xml:space="preserve">Choose </t>
    </r>
    <r>
      <rPr>
        <b/>
        <sz val="9"/>
        <rFont val="Arial"/>
        <family val="2"/>
      </rPr>
      <t xml:space="preserve">Enable this content </t>
    </r>
    <r>
      <rPr>
        <sz val="9"/>
        <rFont val="Arial"/>
        <family val="2"/>
      </rPr>
      <t xml:space="preserve">or </t>
    </r>
    <r>
      <rPr>
        <b/>
        <sz val="9"/>
        <rFont val="Arial"/>
        <family val="2"/>
      </rPr>
      <t xml:space="preserve">Trust all documents from this publisher </t>
    </r>
    <r>
      <rPr>
        <sz val="9"/>
        <rFont val="Arial"/>
        <family val="2"/>
      </rPr>
      <t xml:space="preserve">and then click OK. </t>
    </r>
  </si>
  <si>
    <r>
      <t xml:space="preserve">If you do not see an </t>
    </r>
    <r>
      <rPr>
        <b/>
        <sz val="11"/>
        <color indexed="48"/>
        <rFont val="Arial"/>
        <family val="2"/>
      </rPr>
      <t>Options</t>
    </r>
    <r>
      <rPr>
        <b/>
        <sz val="10"/>
        <color indexed="48"/>
        <rFont val="Arial"/>
        <family val="2"/>
      </rPr>
      <t xml:space="preserve"> button above, macros have been completely disabled:</t>
    </r>
  </si>
  <si>
    <r>
      <t xml:space="preserve">1. </t>
    </r>
    <r>
      <rPr>
        <sz val="9"/>
        <rFont val="Arial"/>
        <family val="2"/>
      </rPr>
      <t>Click the big round Office button located at the top-left corner of Excel.</t>
    </r>
  </si>
  <si>
    <r>
      <t xml:space="preserve">2. </t>
    </r>
    <r>
      <rPr>
        <sz val="9"/>
        <rFont val="Arial"/>
        <family val="2"/>
      </rPr>
      <t xml:space="preserve">Click the </t>
    </r>
    <r>
      <rPr>
        <b/>
        <sz val="9"/>
        <rFont val="Arial"/>
        <family val="2"/>
      </rPr>
      <t>Excel Options</t>
    </r>
    <r>
      <rPr>
        <sz val="9"/>
        <rFont val="Arial"/>
        <family val="2"/>
      </rPr>
      <t xml:space="preserve"> button at the bottom of the window.</t>
    </r>
  </si>
  <si>
    <r>
      <t xml:space="preserve">3. </t>
    </r>
    <r>
      <rPr>
        <sz val="9"/>
        <rFont val="Arial"/>
        <family val="2"/>
      </rPr>
      <t xml:space="preserve">Click </t>
    </r>
    <r>
      <rPr>
        <b/>
        <sz val="9"/>
        <rFont val="Arial"/>
        <family val="2"/>
      </rPr>
      <t xml:space="preserve">Trust Center </t>
    </r>
    <r>
      <rPr>
        <sz val="9"/>
        <rFont val="Arial"/>
        <family val="2"/>
      </rPr>
      <t>from the list on the left part of the Excel Options window.</t>
    </r>
  </si>
  <si>
    <r>
      <t xml:space="preserve">4. </t>
    </r>
    <r>
      <rPr>
        <sz val="9"/>
        <rFont val="Arial"/>
        <family val="2"/>
      </rPr>
      <t xml:space="preserve">Click the </t>
    </r>
    <r>
      <rPr>
        <b/>
        <sz val="9"/>
        <rFont val="Arial"/>
        <family val="2"/>
      </rPr>
      <t xml:space="preserve">Trust Center Settings </t>
    </r>
    <r>
      <rPr>
        <sz val="9"/>
        <rFont val="Arial"/>
        <family val="2"/>
      </rPr>
      <t>button.</t>
    </r>
  </si>
  <si>
    <r>
      <t>5.</t>
    </r>
    <r>
      <rPr>
        <sz val="9"/>
        <rFont val="Arial"/>
        <family val="2"/>
      </rPr>
      <t xml:space="preserve"> In the Trust Center window, click </t>
    </r>
    <r>
      <rPr>
        <b/>
        <sz val="9"/>
        <rFont val="Arial"/>
        <family val="2"/>
      </rPr>
      <t>Macro Settings</t>
    </r>
    <r>
      <rPr>
        <sz val="9"/>
        <rFont val="Arial"/>
        <family val="2"/>
      </rPr>
      <t xml:space="preserve"> from the list on the left.</t>
    </r>
  </si>
  <si>
    <r>
      <t xml:space="preserve">6. </t>
    </r>
    <r>
      <rPr>
        <sz val="9"/>
        <rFont val="Arial"/>
        <family val="2"/>
      </rPr>
      <t xml:space="preserve">Select any setting </t>
    </r>
    <r>
      <rPr>
        <i/>
        <sz val="9"/>
        <rFont val="Arial"/>
        <family val="2"/>
      </rPr>
      <t>except</t>
    </r>
    <r>
      <rPr>
        <sz val="9"/>
        <rFont val="Arial"/>
        <family val="2"/>
      </rPr>
      <t xml:space="preserve"> </t>
    </r>
    <r>
      <rPr>
        <b/>
        <sz val="9"/>
        <rFont val="Arial"/>
        <family val="2"/>
      </rPr>
      <t>Disable all macros without notification</t>
    </r>
    <r>
      <rPr>
        <sz val="9"/>
        <rFont val="Arial"/>
        <family val="2"/>
      </rPr>
      <t>.</t>
    </r>
  </si>
  <si>
    <r>
      <t xml:space="preserve">7. </t>
    </r>
    <r>
      <rPr>
        <sz val="10"/>
        <rFont val="Arial"/>
        <family val="2"/>
      </rPr>
      <t xml:space="preserve">Click </t>
    </r>
    <r>
      <rPr>
        <b/>
        <sz val="10"/>
        <rFont val="Arial"/>
        <family val="2"/>
      </rPr>
      <t>OK</t>
    </r>
    <r>
      <rPr>
        <sz val="10"/>
        <rFont val="Arial"/>
        <family val="2"/>
      </rPr>
      <t xml:space="preserve"> twice to save your settings</t>
    </r>
    <r>
      <rPr>
        <sz val="10"/>
        <rFont val="Arial"/>
        <family val="2"/>
      </rPr>
      <t>.</t>
    </r>
  </si>
  <si>
    <r>
      <t>8.</t>
    </r>
    <r>
      <rPr>
        <sz val="10"/>
        <rFont val="Arial"/>
        <family val="2"/>
      </rPr>
      <t xml:space="preserve"> Close and then r</t>
    </r>
    <r>
      <rPr>
        <sz val="9"/>
        <rFont val="Arial"/>
        <family val="2"/>
      </rPr>
      <t>e-launch this workbook from QuickBooks.</t>
    </r>
  </si>
  <si>
    <r>
      <t>Excel 2010</t>
    </r>
    <r>
      <rPr>
        <b/>
        <sz val="9"/>
        <rFont val="Tahoma"/>
        <family val="2"/>
      </rPr>
      <t/>
    </r>
  </si>
  <si>
    <r>
      <t xml:space="preserve">If you see a security warning and an </t>
    </r>
    <r>
      <rPr>
        <b/>
        <sz val="11"/>
        <color indexed="48"/>
        <rFont val="Arial"/>
        <family val="2"/>
      </rPr>
      <t>Enable Content</t>
    </r>
    <r>
      <rPr>
        <b/>
        <sz val="10"/>
        <color indexed="48"/>
        <rFont val="Arial"/>
        <family val="2"/>
      </rPr>
      <t xml:space="preserve"> button above:</t>
    </r>
  </si>
  <si>
    <r>
      <t xml:space="preserve">1. </t>
    </r>
    <r>
      <rPr>
        <sz val="9"/>
        <rFont val="Arial"/>
        <family val="2"/>
      </rPr>
      <t>Click the Enable Content button.</t>
    </r>
  </si>
  <si>
    <r>
      <t xml:space="preserve">If you do not see an </t>
    </r>
    <r>
      <rPr>
        <b/>
        <sz val="11"/>
        <color indexed="48"/>
        <rFont val="Arial"/>
        <family val="2"/>
      </rPr>
      <t>Enable Content</t>
    </r>
    <r>
      <rPr>
        <b/>
        <sz val="10"/>
        <color indexed="48"/>
        <rFont val="Arial"/>
        <family val="2"/>
      </rPr>
      <t xml:space="preserve"> button, macros have been completely disabled:</t>
    </r>
  </si>
  <si>
    <r>
      <t xml:space="preserve">1. </t>
    </r>
    <r>
      <rPr>
        <sz val="9"/>
        <rFont val="Arial"/>
        <family val="2"/>
      </rPr>
      <t xml:space="preserve">Click the </t>
    </r>
    <r>
      <rPr>
        <b/>
        <sz val="9"/>
        <rFont val="Arial"/>
        <family val="2"/>
      </rPr>
      <t>File</t>
    </r>
    <r>
      <rPr>
        <sz val="9"/>
        <rFont val="Arial"/>
        <family val="2"/>
      </rPr>
      <t xml:space="preserve"> tab and then </t>
    </r>
    <r>
      <rPr>
        <b/>
        <sz val="9"/>
        <rFont val="Arial"/>
        <family val="2"/>
      </rPr>
      <t>Options.</t>
    </r>
  </si>
  <si>
    <r>
      <t xml:space="preserve">2. </t>
    </r>
    <r>
      <rPr>
        <sz val="9"/>
        <rFont val="Arial"/>
        <family val="2"/>
      </rPr>
      <t xml:space="preserve">Click </t>
    </r>
    <r>
      <rPr>
        <b/>
        <sz val="9"/>
        <rFont val="Arial"/>
        <family val="2"/>
      </rPr>
      <t xml:space="preserve">Trust Center </t>
    </r>
    <r>
      <rPr>
        <sz val="9"/>
        <rFont val="Arial"/>
        <family val="2"/>
      </rPr>
      <t>from the list on the left part of the Excel Options window.</t>
    </r>
  </si>
  <si>
    <r>
      <t xml:space="preserve">3. </t>
    </r>
    <r>
      <rPr>
        <sz val="9"/>
        <rFont val="Arial"/>
        <family val="2"/>
      </rPr>
      <t xml:space="preserve">Click the </t>
    </r>
    <r>
      <rPr>
        <b/>
        <sz val="9"/>
        <rFont val="Arial"/>
        <family val="2"/>
      </rPr>
      <t xml:space="preserve">Trust Center Settings </t>
    </r>
    <r>
      <rPr>
        <sz val="9"/>
        <rFont val="Arial"/>
        <family val="2"/>
      </rPr>
      <t>button.</t>
    </r>
  </si>
  <si>
    <r>
      <t>4.</t>
    </r>
    <r>
      <rPr>
        <sz val="9"/>
        <rFont val="Arial"/>
        <family val="2"/>
      </rPr>
      <t xml:space="preserve"> In the Trust Center window, click </t>
    </r>
    <r>
      <rPr>
        <b/>
        <sz val="9"/>
        <rFont val="Arial"/>
        <family val="2"/>
      </rPr>
      <t>Macro Settings</t>
    </r>
    <r>
      <rPr>
        <sz val="9"/>
        <rFont val="Arial"/>
        <family val="2"/>
      </rPr>
      <t xml:space="preserve"> from the list on the left.</t>
    </r>
  </si>
  <si>
    <r>
      <t xml:space="preserve">5. </t>
    </r>
    <r>
      <rPr>
        <sz val="9"/>
        <rFont val="Arial"/>
        <family val="2"/>
      </rPr>
      <t xml:space="preserve">Select any setting </t>
    </r>
    <r>
      <rPr>
        <i/>
        <sz val="9"/>
        <rFont val="Arial"/>
        <family val="2"/>
      </rPr>
      <t>except</t>
    </r>
    <r>
      <rPr>
        <sz val="9"/>
        <rFont val="Arial"/>
        <family val="2"/>
      </rPr>
      <t xml:space="preserve"> </t>
    </r>
    <r>
      <rPr>
        <b/>
        <sz val="9"/>
        <rFont val="Arial"/>
        <family val="2"/>
      </rPr>
      <t>Disable all macros without notification</t>
    </r>
    <r>
      <rPr>
        <sz val="9"/>
        <rFont val="Arial"/>
        <family val="2"/>
      </rPr>
      <t>.</t>
    </r>
  </si>
  <si>
    <r>
      <t xml:space="preserve">6. </t>
    </r>
    <r>
      <rPr>
        <sz val="10"/>
        <rFont val="Arial"/>
        <family val="2"/>
      </rPr>
      <t xml:space="preserve">Click </t>
    </r>
    <r>
      <rPr>
        <b/>
        <sz val="10"/>
        <rFont val="Arial"/>
        <family val="2"/>
      </rPr>
      <t>OK</t>
    </r>
    <r>
      <rPr>
        <sz val="10"/>
        <rFont val="Arial"/>
        <family val="2"/>
      </rPr>
      <t xml:space="preserve"> twice to save your settings.</t>
    </r>
  </si>
  <si>
    <r>
      <t>7.</t>
    </r>
    <r>
      <rPr>
        <sz val="10"/>
        <rFont val="Arial"/>
        <family val="2"/>
      </rPr>
      <t xml:space="preserve"> Close and then r</t>
    </r>
    <r>
      <rPr>
        <sz val="9"/>
        <rFont val="Arial"/>
        <family val="2"/>
      </rPr>
      <t>e-launch this workbook from QuickBooks.</t>
    </r>
  </si>
  <si>
    <t>QBCreateID</t>
  </si>
  <si>
    <t>QBCreateTime</t>
  </si>
  <si>
    <t>1999-07-29T17:45:34</t>
  </si>
  <si>
    <t>Jan 1 - Mar 31, 2013</t>
  </si>
  <si>
    <t>Custom</t>
  </si>
  <si>
    <t>S.B.C.R. INC.</t>
  </si>
  <si>
    <t>2618 DE LA VINA STREET</t>
  </si>
  <si>
    <t>SANTA BARBARA</t>
  </si>
  <si>
    <t>CA</t>
  </si>
  <si>
    <t>77-0516672</t>
  </si>
  <si>
    <t>113644-9123-6450-4010-405 (25.0.14)</t>
  </si>
  <si>
    <t>US</t>
  </si>
  <si>
    <t>RestaurantCatererorBar</t>
  </si>
  <si>
    <t>Single Use (1)</t>
  </si>
  <si>
    <t>Form 1120 (Corporation)</t>
  </si>
  <si>
    <t>Q:\S.B.C.R., INC. #0002958\S.B.C.R. INC (PAYROLL)\S.B.C.R. INC..QBW</t>
  </si>
  <si>
    <t>113-644</t>
  </si>
  <si>
    <t>536362f8a00148b08473706e65337d26</t>
  </si>
  <si>
    <t>QuickBooks Accountant Desktop 2015</t>
  </si>
  <si>
    <t>accountant</t>
  </si>
  <si>
    <t>C:\Program Files (x86)\Intuit\QuickBooks 2015\</t>
  </si>
  <si>
    <t>Basic (2)</t>
  </si>
  <si>
    <t>Pay Start</t>
  </si>
  <si>
    <t>Pay End</t>
  </si>
  <si>
    <t>SSN</t>
  </si>
  <si>
    <t>Amount</t>
  </si>
  <si>
    <t>Hours</t>
  </si>
  <si>
    <t>Wagebase</t>
  </si>
  <si>
    <t>REYES, AMERICA</t>
  </si>
  <si>
    <t>Employee</t>
  </si>
  <si>
    <t>564-76-6918</t>
  </si>
  <si>
    <t>Advances</t>
  </si>
  <si>
    <t>RIOS, JOSE</t>
  </si>
  <si>
    <t>602-32-9718</t>
  </si>
  <si>
    <t>CA - Disability Employee</t>
  </si>
  <si>
    <t>SDI</t>
  </si>
  <si>
    <t>CA - Employment Training Tax</t>
  </si>
  <si>
    <t>CA - Unemployment Company</t>
  </si>
  <si>
    <t>CA - Withholding</t>
  </si>
  <si>
    <t>Federal Unemployment</t>
  </si>
  <si>
    <t>FUTA</t>
  </si>
  <si>
    <t>Federal Withholding</t>
  </si>
  <si>
    <t>Hourly (1)</t>
  </si>
  <si>
    <t>Medicare Company</t>
  </si>
  <si>
    <t>Medicare Employee</t>
  </si>
  <si>
    <t>Medicare Employee Addl Tax</t>
  </si>
  <si>
    <t>Overtime (x1.5) hourly</t>
  </si>
  <si>
    <t>Social Security Company</t>
  </si>
  <si>
    <t>Social Security Employee</t>
  </si>
  <si>
    <t>ANTONIO, NIEVES</t>
  </si>
  <si>
    <t>618-43-2546</t>
  </si>
  <si>
    <t>ASCENCION ALANIZ, VICTORINO</t>
  </si>
  <si>
    <t>671-26-8705</t>
  </si>
  <si>
    <t>ASCENSION, DIONISIO</t>
  </si>
  <si>
    <t>634-23-9061</t>
  </si>
  <si>
    <t>BENKO, BRENNAN M.</t>
  </si>
  <si>
    <t>620-90-2008</t>
  </si>
  <si>
    <t>BENKO, DENISE J.</t>
  </si>
  <si>
    <t>557-91-8289</t>
  </si>
  <si>
    <t>Salary-Officer</t>
  </si>
  <si>
    <t>Simple IRA Co. Match</t>
  </si>
  <si>
    <t>Simple IRA Emp.</t>
  </si>
  <si>
    <t>Simple IRA</t>
  </si>
  <si>
    <t>BENKO, MATTHEW</t>
  </si>
  <si>
    <t>563-65-9037</t>
  </si>
  <si>
    <t>BENKO, TYLER</t>
  </si>
  <si>
    <t>611-76-8367</t>
  </si>
  <si>
    <t>BRAVO, SILVIA</t>
  </si>
  <si>
    <t>614-34-5829</t>
  </si>
  <si>
    <t>BRAVO, ZENEN A.</t>
  </si>
  <si>
    <t>729-76-5297</t>
  </si>
  <si>
    <t>CALIXTRO CARACHURE, JOSE A</t>
  </si>
  <si>
    <t>521-18-1235</t>
  </si>
  <si>
    <t>CARRANZA, ISABEL</t>
  </si>
  <si>
    <t>602-17-8567</t>
  </si>
  <si>
    <t>DAVILA, ERIC</t>
  </si>
  <si>
    <t>602-50-5355</t>
  </si>
  <si>
    <t>DUARTE, JOSE LUIS</t>
  </si>
  <si>
    <t>617-34-9901</t>
  </si>
  <si>
    <t>FLORES, JASMINE O</t>
  </si>
  <si>
    <t>615-92-4325</t>
  </si>
  <si>
    <t>FRANSEN, JEREMY</t>
  </si>
  <si>
    <t>609-24-5075</t>
  </si>
  <si>
    <t>Salary-Employee</t>
  </si>
  <si>
    <t>GAITAN CERVANTES, JOSE MANUEL</t>
  </si>
  <si>
    <t>824-88-2276</t>
  </si>
  <si>
    <t>GARCIA, ADRIAN</t>
  </si>
  <si>
    <t>682-17-4009</t>
  </si>
  <si>
    <t>GOMEZ, BERNARDINO TOMAS</t>
  </si>
  <si>
    <t>534-56-7869</t>
  </si>
  <si>
    <t>GOMEZ, CONCEPCION T</t>
  </si>
  <si>
    <t>576-78-5767</t>
  </si>
  <si>
    <t>LANDEROS GONZALEZ, DIEGO H</t>
  </si>
  <si>
    <t>611-63-0481</t>
  </si>
  <si>
    <t>LUCATERO, LAURA P.</t>
  </si>
  <si>
    <t>618-06-8632</t>
  </si>
  <si>
    <t>MEDINA ROMERO, JUAN</t>
  </si>
  <si>
    <t>649-81-3801</t>
  </si>
  <si>
    <t>MENDEZ, CARLOS</t>
  </si>
  <si>
    <t>613-09-1760</t>
  </si>
  <si>
    <t>Garnishment</t>
  </si>
  <si>
    <t>MORENO, JONATHAN S.</t>
  </si>
  <si>
    <t>618-94-5748</t>
  </si>
  <si>
    <t>MUNOZ, BRYAN</t>
  </si>
  <si>
    <t>618-13-8689</t>
  </si>
  <si>
    <t>NAVA, GLORIA</t>
  </si>
  <si>
    <t>573-74-8402</t>
  </si>
  <si>
    <t>OLANDEZ, CLAUDIO</t>
  </si>
  <si>
    <t>617-76-5571</t>
  </si>
  <si>
    <t>OLEA, OCIEL</t>
  </si>
  <si>
    <t>517-98-9411</t>
  </si>
  <si>
    <t>PENA, ROLANDO</t>
  </si>
  <si>
    <t>681-43-4343</t>
  </si>
  <si>
    <t>RAMIREZ JIMENEZ, NATALIE</t>
  </si>
  <si>
    <t>611-06-6747</t>
  </si>
  <si>
    <t>RAMIREZ, CONSUELO</t>
  </si>
  <si>
    <t>615-60-2092</t>
  </si>
  <si>
    <t>REYES TLATILPA, VALENTIN</t>
  </si>
  <si>
    <t>664-24-8056</t>
  </si>
  <si>
    <t>REYES, KAREN G.</t>
  </si>
  <si>
    <t>349-25-3765</t>
  </si>
  <si>
    <t>RIOS C., FREDDY N.</t>
  </si>
  <si>
    <t>504-49-4448</t>
  </si>
  <si>
    <t>RIOS CALIXTO, ANTERO</t>
  </si>
  <si>
    <t>617-26-6001</t>
  </si>
  <si>
    <t>RIOS ROSALES, ALFREDO</t>
  </si>
  <si>
    <t>624-20-9512</t>
  </si>
  <si>
    <t>RIOS SANTANA, JUAN C</t>
  </si>
  <si>
    <t>640-23-4007</t>
  </si>
  <si>
    <t>RODRIGUEZ ESTRADA, ELISENDA</t>
  </si>
  <si>
    <t>606-74-8692</t>
  </si>
  <si>
    <t>ROHLFING, SARAH E.</t>
  </si>
  <si>
    <t>610-82-0252</t>
  </si>
  <si>
    <t>VARGAS RAYO, CARLOS</t>
  </si>
  <si>
    <t>675-98-0987</t>
  </si>
  <si>
    <t>VAZQUEZ-HERNANDEZ, NATALIE</t>
  </si>
  <si>
    <t>626-08-2656</t>
  </si>
  <si>
    <t>VAZQUEZ-HERNANDEZ, STACY M.</t>
  </si>
  <si>
    <t>621-60-1353</t>
  </si>
  <si>
    <t>ZUNIGA, DULCE M</t>
  </si>
  <si>
    <t>637-05-2108</t>
  </si>
  <si>
    <t>CANALES, GUADALUPE</t>
  </si>
  <si>
    <t>632-67-4850</t>
  </si>
  <si>
    <t>CARACHURE CALLES, DONATO</t>
  </si>
  <si>
    <t>603-90-7749</t>
  </si>
  <si>
    <t>CARACHURE CALLES, RICARDO</t>
  </si>
  <si>
    <t>194-59-1141</t>
  </si>
  <si>
    <t>ELIZARRARAZ TORRES, ELIZEO</t>
  </si>
  <si>
    <t>621-41-2746</t>
  </si>
  <si>
    <t>PERALTA, LINA</t>
  </si>
  <si>
    <t>645-91-4236</t>
  </si>
  <si>
    <t>Hourly Sick</t>
  </si>
  <si>
    <t>CALIXTO SANCHEZ, EUGENIO</t>
  </si>
  <si>
    <t>613-45-7414</t>
  </si>
  <si>
    <t>Vacation</t>
  </si>
  <si>
    <t>Adjustment</t>
  </si>
  <si>
    <t>Hourly Vacation</t>
  </si>
  <si>
    <t>VAZQUEZ, CARLOS DE JUSUS</t>
  </si>
  <si>
    <t>682-80-2876</t>
  </si>
  <si>
    <t>INFANTE DE LA CRUZ, JAVIER</t>
  </si>
  <si>
    <t>621-98-7391</t>
  </si>
  <si>
    <t>DUARTE, JOSE L.</t>
  </si>
  <si>
    <t>614-25-9671</t>
  </si>
  <si>
    <t>FAJARDO, MIGUEL</t>
  </si>
  <si>
    <t>578-57-5142</t>
  </si>
  <si>
    <t>HERNANDEZ DIAZ, ALEJANDRA</t>
  </si>
  <si>
    <t>606-15-0239</t>
  </si>
  <si>
    <t>RIOS, AGUSTIN</t>
  </si>
  <si>
    <t>641-05-8371</t>
  </si>
  <si>
    <t>RODRIGUEZ MENDEZ, GUILLERMO</t>
  </si>
  <si>
    <t>586-24-7091</t>
  </si>
  <si>
    <t>CARDONA MARTINEZ, BONIFACIO</t>
  </si>
  <si>
    <t>629-27-0823</t>
  </si>
  <si>
    <t>MENDEZ, JESUS</t>
  </si>
  <si>
    <t>603-99-1077</t>
  </si>
  <si>
    <t>CATALAN, DANIELA</t>
  </si>
  <si>
    <t>619-17-1602</t>
  </si>
  <si>
    <t>Paycheck Detail Report</t>
  </si>
  <si>
    <t>Earnings</t>
  </si>
  <si>
    <t>Taxes</t>
  </si>
  <si>
    <t>Other Additions/Deductions</t>
  </si>
  <si>
    <t>Company Taxes &amp; Contributions</t>
  </si>
  <si>
    <t>Paychecks Dated Aug 30, 2017</t>
  </si>
  <si>
    <t>618-43-2546      Pay Period: Aug 14 - Aug 27, 2017</t>
  </si>
  <si>
    <t>Chk # 19502</t>
  </si>
  <si>
    <t>Earnings Item</t>
  </si>
  <si>
    <t>Current</t>
  </si>
  <si>
    <t>YTD</t>
  </si>
  <si>
    <t>Tax</t>
  </si>
  <si>
    <t>Item</t>
  </si>
  <si>
    <t>Total Earnings</t>
  </si>
  <si>
    <t>Total Taxes</t>
  </si>
  <si>
    <t>Total Other</t>
  </si>
  <si>
    <t>Total Company</t>
  </si>
  <si>
    <t>Net Pay</t>
  </si>
  <si>
    <t>671-26-8705      Pay Period: Aug 14 - Aug 27, 2017</t>
  </si>
  <si>
    <t>Chk # 19503</t>
  </si>
  <si>
    <t>634-23-9061      Pay Period: Aug 14 - Aug 27, 2017</t>
  </si>
  <si>
    <t>Chk # 19504</t>
  </si>
  <si>
    <t>620-90-2008      Pay Period: Aug 14 - Aug 27, 2017</t>
  </si>
  <si>
    <t>Chk # 19505</t>
  </si>
  <si>
    <t>557-91-8289      Pay Period: Aug 14 - Aug 27, 2017</t>
  </si>
  <si>
    <t>Chk # 19506</t>
  </si>
  <si>
    <t>563-65-9037      Pay Period: Aug 14 - Aug 27, 2017</t>
  </si>
  <si>
    <t>Chk # 19507</t>
  </si>
  <si>
    <t>611-76-8367      Pay Period: Aug 14 - Aug 27, 2017</t>
  </si>
  <si>
    <t>Chk # 19508</t>
  </si>
  <si>
    <t>614-34-5829      Pay Period: Aug 14 - Aug 27, 2017</t>
  </si>
  <si>
    <t>Chk # 19509</t>
  </si>
  <si>
    <t>729-76-5297      Pay Period: Aug 14 - Aug 27, 2017</t>
  </si>
  <si>
    <t>Chk # 19510</t>
  </si>
  <si>
    <t>613-45-7414      Pay Period: Aug 14 - Aug 27, 2017</t>
  </si>
  <si>
    <t>Chk # 19511</t>
  </si>
  <si>
    <t>521-18-1235      Pay Period: Aug 14 - Aug 27, 2017</t>
  </si>
  <si>
    <t>Chk # 19512</t>
  </si>
  <si>
    <t>632-67-4850      Pay Period: Aug 14 - Aug 27, 2017</t>
  </si>
  <si>
    <t>Chk # 19513</t>
  </si>
  <si>
    <t>603-90-7749      Pay Period: Aug 14 - Aug 27, 2017</t>
  </si>
  <si>
    <t>Chk # 19514</t>
  </si>
  <si>
    <t>194-59-1141      Pay Period: Aug 14 - Aug 27, 2017</t>
  </si>
  <si>
    <t>Chk # 19515</t>
  </si>
  <si>
    <t>629-27-0823      Pay Period: Aug 14 - Aug 27, 2017</t>
  </si>
  <si>
    <t>Chk # 19516</t>
  </si>
  <si>
    <t>602-17-8567      Pay Period: Aug 14 - Aug 27, 2017</t>
  </si>
  <si>
    <t>Chk # 19517</t>
  </si>
  <si>
    <t>619-17-1602      Pay Period: Aug 14 - Aug 27, 2017</t>
  </si>
  <si>
    <t>Chk # 19518</t>
  </si>
  <si>
    <t>602-50-5355      Pay Period: Aug 14 - Aug 27, 2017</t>
  </si>
  <si>
    <t>Chk # 19519</t>
  </si>
  <si>
    <t>614-25-9671      Pay Period: Aug 14 - Aug 27, 2017</t>
  </si>
  <si>
    <t>Chk # 19520</t>
  </si>
  <si>
    <t>617-34-9901      Pay Period: Aug 14 - Aug 27, 2017</t>
  </si>
  <si>
    <t>Chk # 19521</t>
  </si>
  <si>
    <t>621-41-2746      Pay Period: Aug 14 - Aug 27, 2017</t>
  </si>
  <si>
    <t>Chk # 19522</t>
  </si>
  <si>
    <t>578-57-5142      Pay Period: Aug 14 - Aug 27, 2017</t>
  </si>
  <si>
    <t>Chk # 19523</t>
  </si>
  <si>
    <t>615-92-4325      Pay Period: Aug 14 - Aug 27, 2017</t>
  </si>
  <si>
    <t>Chk # 19524</t>
  </si>
  <si>
    <t>609-24-5075      Pay Period: Aug 14 - Aug 27, 2017</t>
  </si>
  <si>
    <t>Chk # 19525</t>
  </si>
  <si>
    <t>824-88-2276      Pay Period: Aug 14 - Aug 27, 2017</t>
  </si>
  <si>
    <t>Chk # 19526</t>
  </si>
  <si>
    <t>682-17-4009      Pay Period: Aug 14 - Aug 27, 2017</t>
  </si>
  <si>
    <t>Chk # 19527</t>
  </si>
  <si>
    <t>534-56-7869      Pay Period: Aug 14 - Aug 27, 2017</t>
  </si>
  <si>
    <t>Chk # 19528</t>
  </si>
  <si>
    <t>576-78-5767      Pay Period: Aug 14 - Aug 27, 2017</t>
  </si>
  <si>
    <t>Chk # 19529</t>
  </si>
  <si>
    <t>606-15-0239      Pay Period: Aug 14 - Aug 27, 2017</t>
  </si>
  <si>
    <t>Chk # 19530</t>
  </si>
  <si>
    <t>621-98-7391      Pay Period: Aug 14 - Aug 27, 2017</t>
  </si>
  <si>
    <t>Chk # 19531</t>
  </si>
  <si>
    <t>611-63-0481      Pay Period: Aug 14 - Aug 27, 2017</t>
  </si>
  <si>
    <t>Chk # 19532</t>
  </si>
  <si>
    <t>618-06-8632      Pay Period: Aug 14 - Aug 27, 2017</t>
  </si>
  <si>
    <t>Chk # 19533</t>
  </si>
  <si>
    <t>649-81-3801      Pay Period: Aug 14 - Aug 27, 2017</t>
  </si>
  <si>
    <t>Chk # 19534</t>
  </si>
  <si>
    <t>613-09-1760      Pay Period: Aug 14 - Aug 27, 2017</t>
  </si>
  <si>
    <t>Chk # 19535</t>
  </si>
  <si>
    <t>603-99-1077      Pay Period: Aug 14 - Aug 27, 2017</t>
  </si>
  <si>
    <t>Chk # 19536</t>
  </si>
  <si>
    <t>618-94-5748      Pay Period: Aug 14 - Aug 27, 2017</t>
  </si>
  <si>
    <t>Chk # 19537</t>
  </si>
  <si>
    <t>618-13-8689      Pay Period: Aug 14 - Aug 27, 2017</t>
  </si>
  <si>
    <t>Chk # 19538</t>
  </si>
  <si>
    <t>573-74-8402      Pay Period: Aug 14 - Aug 27, 2017</t>
  </si>
  <si>
    <t>Chk # 19539</t>
  </si>
  <si>
    <t>617-76-5571      Pay Period: Aug 14 - Aug 27, 2017</t>
  </si>
  <si>
    <t>Chk # 19540</t>
  </si>
  <si>
    <t>517-98-9411      Pay Period: Aug 14 - Aug 27, 2017</t>
  </si>
  <si>
    <t>Chk # 19541</t>
  </si>
  <si>
    <t>681-43-4343      Pay Period: Aug 14 - Aug 27, 2017</t>
  </si>
  <si>
    <t>Chk # 19542</t>
  </si>
  <si>
    <t>645-91-4236      Pay Period: Aug 14 - Aug 27, 2017</t>
  </si>
  <si>
    <t>Chk # 19543</t>
  </si>
  <si>
    <t>611-06-6747      Pay Period: Aug 14 - Aug 27, 2017</t>
  </si>
  <si>
    <t>Chk # 19544</t>
  </si>
  <si>
    <t>615-60-2092      Pay Period: Aug 14 - Aug 27, 2017</t>
  </si>
  <si>
    <t>Chk # 19545</t>
  </si>
  <si>
    <t>664-24-8056      Pay Period: Aug 14 - Aug 27, 2017</t>
  </si>
  <si>
    <t>Chk # 19546</t>
  </si>
  <si>
    <t>564-76-6918      Pay Period: Aug 14 - Aug 27, 2017</t>
  </si>
  <si>
    <t>Chk # 19547</t>
  </si>
  <si>
    <t>349-25-3765      Pay Period: Aug 14 - Aug 27, 2017</t>
  </si>
  <si>
    <t>Chk # 19548</t>
  </si>
  <si>
    <t>504-49-4448      Pay Period: Aug 14 - Aug 27, 2017</t>
  </si>
  <si>
    <t>Chk # 19549</t>
  </si>
  <si>
    <t>617-26-6001      Pay Period: Aug 14 - Aug 27, 2017</t>
  </si>
  <si>
    <t>Chk # 19550</t>
  </si>
  <si>
    <t>624-20-9512      Pay Period: Aug 14 - Aug 27, 2017</t>
  </si>
  <si>
    <t>Chk # 19551</t>
  </si>
  <si>
    <t>640-23-4007      Pay Period: Aug 14 - Aug 27, 2017</t>
  </si>
  <si>
    <t>Chk # 19552</t>
  </si>
  <si>
    <t>641-05-8371      Pay Period: Aug 14 - Aug 27, 2017</t>
  </si>
  <si>
    <t>Chk # 19553</t>
  </si>
  <si>
    <t>602-32-9718      Pay Period: Aug 14 - Aug 27, 2017</t>
  </si>
  <si>
    <t>Chk # 19554</t>
  </si>
  <si>
    <t>606-74-8692      Pay Period: Aug 14 - Aug 27, 2017</t>
  </si>
  <si>
    <t>Chk # 19555</t>
  </si>
  <si>
    <t>586-24-7091      Pay Period: Aug 14 - Aug 27, 2017</t>
  </si>
  <si>
    <t>Chk # 19556</t>
  </si>
  <si>
    <t>610-82-0252      Pay Period: Aug 14 - Aug 27, 2017</t>
  </si>
  <si>
    <t>Chk # 19557</t>
  </si>
  <si>
    <t>675-98-0987      Pay Period: Aug 14 - Aug 27, 2017</t>
  </si>
  <si>
    <t>Chk # 19558</t>
  </si>
  <si>
    <t>682-80-2876      Pay Period: Aug 14 - Aug 27, 2017</t>
  </si>
  <si>
    <t>Chk # 19561</t>
  </si>
  <si>
    <t>626-08-2656      Pay Period: Aug 14 - Aug 27, 2017</t>
  </si>
  <si>
    <t>Chk # 19559</t>
  </si>
  <si>
    <t>621-60-1353      Pay Period: Aug 14 - Aug 27, 2017</t>
  </si>
  <si>
    <t>Chk # 19560</t>
  </si>
  <si>
    <t>637-05-2108      Pay Period: Aug 14 - Aug 27, 2017</t>
  </si>
  <si>
    <t>Chk # 19562</t>
  </si>
  <si>
    <t>Company Totals Aug 30, 2017</t>
  </si>
  <si>
    <t>Employee Count: 61</t>
  </si>
  <si>
    <t>Check Count: 61</t>
  </si>
  <si>
    <t>Payroll Register</t>
  </si>
  <si>
    <t>Aug 30 - Aug 30, 2017</t>
  </si>
  <si>
    <t>Check Info</t>
  </si>
  <si>
    <t>Payroll Details</t>
  </si>
  <si>
    <t>Name</t>
  </si>
  <si>
    <t>Chk Date</t>
  </si>
  <si>
    <t>Chk #</t>
  </si>
  <si>
    <t>Gross</t>
  </si>
  <si>
    <t>Fed W/H</t>
  </si>
  <si>
    <t>Soc Sec</t>
  </si>
  <si>
    <t>Med Care</t>
  </si>
  <si>
    <t>Med Care Addl</t>
  </si>
  <si>
    <t>State W/H</t>
  </si>
  <si>
    <t>Company Totals</t>
  </si>
  <si>
    <t>941 Payroll Liabilities and Payments</t>
  </si>
  <si>
    <t>Wages &amp; Accrued Taxes</t>
  </si>
  <si>
    <t>Federal W/H</t>
  </si>
  <si>
    <t>AEIC</t>
  </si>
  <si>
    <t>Social Security</t>
  </si>
  <si>
    <t>Medicare</t>
  </si>
  <si>
    <t>Medicare Addl</t>
  </si>
  <si>
    <t>Payroll Date</t>
  </si>
  <si>
    <t>Total Tax</t>
  </si>
  <si>
    <t>Total Wages &amp; Accrued Taxes</t>
  </si>
  <si>
    <t>Tax Payments</t>
  </si>
  <si>
    <t>Paid to</t>
  </si>
  <si>
    <t>Check Date</t>
  </si>
  <si>
    <t>Total Tax Payments</t>
  </si>
  <si>
    <t>Unpaid Tax Liability</t>
  </si>
  <si>
    <t>Federal 941 Tax Summary</t>
  </si>
  <si>
    <t>Payment Amount Due</t>
  </si>
  <si>
    <t>001 Social Security</t>
  </si>
  <si>
    <t>002 Medicare &amp; Medicare Addl</t>
  </si>
  <si>
    <t>003 Tax Withholding</t>
  </si>
  <si>
    <t>940 Payroll Liabilities and Payments</t>
  </si>
  <si>
    <t>State Payroll Liabilities and Payments</t>
  </si>
  <si>
    <t>State UI</t>
  </si>
  <si>
    <t>State Disability</t>
  </si>
  <si>
    <t>Other Taxes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</si>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</sst>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5" formatCode="#,##0.00;\-#,##0.00;\-"/>
    <numFmt numFmtId="185" formatCode="mm/dd/yy"/>
    <numFmt numFmtId="206" formatCode="mm/dd/yyyy"/>
  </numFmts>
  <fonts count="36" x14ac:knownFonts="1">
    <font>
      <sz val="10"/>
      <name val="Arial"/>
    </font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8"/>
      <name val="Arial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9"/>
      <name val="Tahoma"/>
      <family val="2"/>
    </font>
    <font>
      <b/>
      <sz val="9"/>
      <name val="Tahoma"/>
      <family val="2"/>
    </font>
    <font>
      <b/>
      <sz val="11"/>
      <name val="Arial"/>
      <family val="2"/>
    </font>
    <font>
      <b/>
      <sz val="9"/>
      <color indexed="48"/>
      <name val="Arial"/>
      <family val="2"/>
    </font>
    <font>
      <b/>
      <sz val="9"/>
      <name val="Arial"/>
      <family val="2"/>
    </font>
    <font>
      <b/>
      <sz val="12"/>
      <color indexed="52"/>
      <name val="Arial"/>
      <family val="2"/>
    </font>
    <font>
      <sz val="9"/>
      <name val="Arial"/>
      <family val="2"/>
    </font>
    <font>
      <b/>
      <sz val="11"/>
      <color indexed="48"/>
      <name val="Arial"/>
      <family val="2"/>
    </font>
    <font>
      <b/>
      <sz val="10"/>
      <color indexed="48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b/>
      <sz val="1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</borders>
  <cellStyleXfs count="44">
    <xf numFmtId="0" fontId="0" fillId="0" borderId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8" fillId="6" borderId="0" applyNumberFormat="0" applyBorder="0" applyAlignment="0" applyProtection="0"/>
    <xf numFmtId="0" fontId="8" fillId="9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12" borderId="0" applyNumberFormat="0" applyBorder="0" applyAlignment="0" applyProtection="0"/>
    <xf numFmtId="0" fontId="8" fillId="6" borderId="0" applyNumberFormat="0" applyBorder="0" applyAlignment="0" applyProtection="0"/>
    <xf numFmtId="0" fontId="8" fillId="13" borderId="0" applyNumberFormat="0" applyBorder="0" applyAlignment="0" applyProtection="0"/>
    <xf numFmtId="0" fontId="7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1" applyNumberFormat="0" applyAlignment="0" applyProtection="0"/>
    <xf numFmtId="0" fontId="11" fillId="8" borderId="2" applyNumberFormat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13" borderId="1" applyNumberFormat="0" applyAlignment="0" applyProtection="0"/>
    <xf numFmtId="0" fontId="18" fillId="0" borderId="6" applyNumberFormat="0" applyFill="0" applyAlignment="0" applyProtection="0"/>
    <xf numFmtId="0" fontId="19" fillId="19" borderId="0" applyNumberFormat="0" applyBorder="0" applyAlignment="0" applyProtection="0"/>
    <xf numFmtId="0" fontId="1" fillId="6" borderId="7" applyNumberFormat="0" applyFont="0" applyAlignment="0" applyProtection="0"/>
    <xf numFmtId="0" fontId="20" fillId="15" borderId="8" applyNumberFormat="0" applyAlignment="0" applyProtection="0"/>
    <xf numFmtId="0" fontId="21" fillId="0" borderId="0" applyNumberFormat="0" applyFill="0" applyBorder="0" applyAlignment="0" applyProtection="0"/>
    <xf numFmtId="0" fontId="12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14" fontId="0" fillId="0" borderId="0" xfId="0" applyNumberFormat="1"/>
    <xf numFmtId="22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0" xfId="0" applyNumberFormat="1" applyAlignment="1"/>
    <xf numFmtId="0" fontId="2" fillId="0" borderId="0" xfId="0" applyNumberFormat="1" applyFont="1" applyAlignment="1"/>
    <xf numFmtId="0" fontId="3" fillId="0" borderId="0" xfId="0" applyFont="1" applyBorder="1"/>
    <xf numFmtId="0" fontId="0" fillId="0" borderId="0" xfId="0" applyNumberFormat="1" applyAlignment="1">
      <alignment horizontal="center"/>
    </xf>
    <xf numFmtId="0" fontId="2" fillId="0" borderId="0" xfId="0" applyFont="1" applyFill="1"/>
    <xf numFmtId="0" fontId="0" fillId="0" borderId="0" xfId="0" applyBorder="1" applyAlignment="1">
      <alignment vertical="top"/>
    </xf>
    <xf numFmtId="14" fontId="3" fillId="0" borderId="0" xfId="0" applyNumberFormat="1" applyFont="1" applyBorder="1" applyAlignment="1">
      <alignment horizontal="right" vertical="top"/>
    </xf>
    <xf numFmtId="14" fontId="3" fillId="0" borderId="0" xfId="0" applyNumberFormat="1" applyFont="1" applyBorder="1" applyAlignment="1">
      <alignment horizontal="left" vertical="top"/>
    </xf>
    <xf numFmtId="0" fontId="0" fillId="0" borderId="0" xfId="0" applyAlignment="1">
      <alignment vertical="top"/>
    </xf>
    <xf numFmtId="4" fontId="0" fillId="0" borderId="0" xfId="0" applyNumberFormat="1"/>
    <xf numFmtId="0" fontId="25" fillId="0" borderId="10" xfId="0" applyFont="1" applyBorder="1" applyAlignment="1">
      <alignment horizontal="left" wrapText="1"/>
    </xf>
    <xf numFmtId="0" fontId="27" fillId="0" borderId="11" xfId="0" applyFont="1" applyBorder="1" applyAlignment="1">
      <alignment horizontal="left" vertical="top" wrapText="1"/>
    </xf>
    <xf numFmtId="0" fontId="28" fillId="0" borderId="10" xfId="0" applyFont="1" applyBorder="1" applyAlignment="1">
      <alignment horizontal="left" wrapText="1"/>
    </xf>
    <xf numFmtId="0" fontId="27" fillId="0" borderId="11" xfId="0" applyFont="1" applyBorder="1" applyAlignment="1">
      <alignment horizontal="left" vertical="top" wrapText="1" indent="1"/>
    </xf>
    <xf numFmtId="0" fontId="27" fillId="0" borderId="12" xfId="0" applyFont="1" applyBorder="1" applyAlignment="1">
      <alignment horizontal="left" vertical="top" wrapText="1" indent="1"/>
    </xf>
    <xf numFmtId="0" fontId="31" fillId="0" borderId="11" xfId="0" applyFont="1" applyBorder="1" applyAlignment="1">
      <alignment horizontal="left" vertical="top" wrapText="1"/>
    </xf>
    <xf numFmtId="0" fontId="27" fillId="0" borderId="12" xfId="0" applyFont="1" applyBorder="1" applyAlignment="1">
      <alignment horizontal="left" wrapText="1" indent="1"/>
    </xf>
    <xf numFmtId="0" fontId="31" fillId="0" borderId="12" xfId="0" applyFont="1" applyBorder="1" applyAlignment="1">
      <alignment horizontal="left" wrapText="1"/>
    </xf>
    <xf numFmtId="0" fontId="3" fillId="0" borderId="12" xfId="0" applyFont="1" applyBorder="1" applyAlignment="1">
      <alignment horizontal="left" vertical="top" wrapText="1" indent="1"/>
    </xf>
    <xf numFmtId="14" fontId="0" fillId="0" borderId="0" xfId="0" applyNumberFormat="1" applyAlignment="1">
      <alignment horizontal="left"/>
    </xf>
    <xf numFmtId="0" fontId="5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4" fillId="0" borderId="0" xfId="0" applyFont="1" applyAlignment="1">
      <alignment horizontal="right" vertical="top"/>
    </xf>
    <xf numFmtId="0" fontId="0" fillId="0" borderId="0" xfId="0" applyAlignment="1"/>
    <xf numFmtId="0" fontId="4" fillId="0" borderId="13" xfId="0" applyNumberFormat="1" applyFont="1" applyBorder="1" applyAlignment="1">
      <alignment horizontal="left"/>
    </xf>
    <xf numFmtId="0" fontId="4" fillId="0" borderId="13" xfId="0" applyNumberFormat="1" applyFont="1" applyBorder="1" applyAlignment="1">
      <alignment horizontal="left"/>
    </xf>
    <xf numFmtId="0" fontId="0" fillId="0" borderId="13" xfId="0" applyBorder="1" applyAlignment="1">
      <alignment horizontal="left"/>
    </xf>
    <xf numFmtId="0" fontId="4" fillId="0" borderId="0" xfId="0" applyNumberFormat="1" applyFont="1" applyFill="1" applyBorder="1" applyAlignment="1">
      <alignment horizontal="left"/>
    </xf>
    <xf numFmtId="0" fontId="4" fillId="0" borderId="14" xfId="0" applyNumberFormat="1" applyFont="1" applyBorder="1" applyAlignment="1">
      <alignment horizontal="left"/>
    </xf>
    <xf numFmtId="0" fontId="0" fillId="0" borderId="14" xfId="0" applyBorder="1" applyAlignment="1">
      <alignment horizontal="left"/>
    </xf>
    <xf numFmtId="0" fontId="25" fillId="20" borderId="0" xfId="0" applyNumberFormat="1" applyFont="1" applyFill="1" applyAlignment="1">
      <alignment horizontal="left"/>
    </xf>
    <xf numFmtId="0" fontId="25" fillId="0" borderId="0" xfId="0" applyNumberFormat="1" applyFont="1" applyFill="1" applyBorder="1" applyAlignment="1">
      <alignment horizontal="left"/>
    </xf>
    <xf numFmtId="0" fontId="25" fillId="20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5" fillId="20" borderId="0" xfId="0" applyNumberFormat="1" applyFont="1" applyFill="1" applyAlignment="1">
      <alignment horizontal="right"/>
    </xf>
    <xf numFmtId="0" fontId="0" fillId="0" borderId="0" xfId="0" applyAlignment="1">
      <alignment horizontal="right"/>
    </xf>
    <xf numFmtId="0" fontId="33" fillId="0" borderId="13" xfId="0" applyNumberFormat="1" applyFont="1" applyBorder="1" applyAlignment="1">
      <alignment horizontal="right"/>
    </xf>
    <xf numFmtId="0" fontId="33" fillId="0" borderId="13" xfId="0" applyNumberFormat="1" applyFont="1" applyBorder="1" applyAlignment="1">
      <alignment horizontal="left"/>
    </xf>
    <xf numFmtId="0" fontId="33" fillId="0" borderId="0" xfId="0" applyNumberFormat="1" applyFont="1" applyFill="1" applyBorder="1" applyAlignment="1">
      <alignment horizontal="right"/>
    </xf>
    <xf numFmtId="0" fontId="0" fillId="0" borderId="0" xfId="0" applyNumberFormat="1" applyAlignment="1">
      <alignment horizontal="left" indent="1"/>
    </xf>
    <xf numFmtId="175" fontId="2" fillId="0" borderId="0" xfId="0" applyNumberFormat="1" applyFont="1" applyAlignment="1">
      <alignment horizontal="right"/>
    </xf>
    <xf numFmtId="175" fontId="2" fillId="0" borderId="0" xfId="0" applyNumberFormat="1" applyFont="1" applyAlignment="1">
      <alignment horizontal="center"/>
    </xf>
    <xf numFmtId="175" fontId="3" fillId="0" borderId="14" xfId="0" applyNumberFormat="1" applyFont="1" applyBorder="1" applyAlignment="1">
      <alignment vertical="top"/>
    </xf>
    <xf numFmtId="175" fontId="3" fillId="0" borderId="14" xfId="0" applyNumberFormat="1" applyFont="1" applyBorder="1" applyAlignment="1">
      <alignment horizontal="right" vertical="top"/>
    </xf>
    <xf numFmtId="175" fontId="3" fillId="0" borderId="14" xfId="0" applyNumberFormat="1" applyFont="1" applyBorder="1" applyAlignment="1">
      <alignment horizontal="center" vertical="top"/>
    </xf>
    <xf numFmtId="175" fontId="3" fillId="0" borderId="14" xfId="0" applyNumberFormat="1" applyFont="1" applyBorder="1" applyAlignment="1">
      <alignment horizontal="left" vertical="top" indent="1"/>
    </xf>
    <xf numFmtId="175" fontId="3" fillId="0" borderId="0" xfId="0" applyNumberFormat="1" applyFont="1" applyFill="1" applyBorder="1" applyAlignment="1">
      <alignment horizontal="center" vertical="top"/>
    </xf>
    <xf numFmtId="0" fontId="5" fillId="0" borderId="0" xfId="0" applyNumberFormat="1" applyFont="1" applyAlignment="1"/>
    <xf numFmtId="0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25" fillId="20" borderId="14" xfId="0" applyNumberFormat="1" applyFont="1" applyFill="1" applyBorder="1" applyAlignment="1">
      <alignment horizontal="left"/>
    </xf>
    <xf numFmtId="0" fontId="25" fillId="20" borderId="14" xfId="0" applyNumberFormat="1" applyFont="1" applyFill="1" applyBorder="1" applyAlignment="1">
      <alignment horizontal="left"/>
    </xf>
    <xf numFmtId="0" fontId="25" fillId="20" borderId="14" xfId="0" applyNumberFormat="1" applyFont="1" applyFill="1" applyBorder="1" applyAlignment="1">
      <alignment horizontal="right"/>
    </xf>
    <xf numFmtId="0" fontId="25" fillId="0" borderId="14" xfId="0" applyNumberFormat="1" applyFont="1" applyFill="1" applyBorder="1" applyAlignment="1">
      <alignment horizontal="left"/>
    </xf>
    <xf numFmtId="0" fontId="0" fillId="0" borderId="0" xfId="0" applyNumberFormat="1" applyBorder="1" applyAlignment="1">
      <alignment horizontal="left" indent="1"/>
    </xf>
    <xf numFmtId="175" fontId="2" fillId="0" borderId="0" xfId="0" applyNumberFormat="1" applyFont="1" applyBorder="1" applyAlignment="1">
      <alignment horizontal="center"/>
    </xf>
    <xf numFmtId="175" fontId="2" fillId="0" borderId="0" xfId="0" applyNumberFormat="1" applyFont="1" applyBorder="1" applyAlignment="1">
      <alignment horizontal="right"/>
    </xf>
    <xf numFmtId="0" fontId="0" fillId="0" borderId="0" xfId="0" applyNumberFormat="1" applyBorder="1"/>
    <xf numFmtId="0" fontId="0" fillId="0" borderId="13" xfId="0" applyNumberFormat="1" applyBorder="1"/>
    <xf numFmtId="0" fontId="0" fillId="0" borderId="13" xfId="0" applyNumberFormat="1" applyBorder="1" applyAlignment="1">
      <alignment horizontal="left"/>
    </xf>
    <xf numFmtId="175" fontId="3" fillId="0" borderId="15" xfId="0" applyNumberFormat="1" applyFont="1" applyBorder="1" applyAlignment="1">
      <alignment horizontal="left" vertical="top" indent="1"/>
    </xf>
    <xf numFmtId="175" fontId="3" fillId="0" borderId="15" xfId="0" applyNumberFormat="1" applyFont="1" applyBorder="1" applyAlignment="1">
      <alignment horizontal="right" vertical="top"/>
    </xf>
    <xf numFmtId="0" fontId="25" fillId="20" borderId="17" xfId="0" applyNumberFormat="1" applyFont="1" applyFill="1" applyBorder="1" applyAlignment="1">
      <alignment horizontal="left"/>
    </xf>
    <xf numFmtId="0" fontId="33" fillId="0" borderId="18" xfId="0" applyNumberFormat="1" applyFont="1" applyBorder="1" applyAlignment="1">
      <alignment horizontal="left"/>
    </xf>
    <xf numFmtId="0" fontId="0" fillId="0" borderId="19" xfId="0" applyNumberFormat="1" applyBorder="1" applyAlignment="1">
      <alignment horizontal="left" indent="1"/>
    </xf>
    <xf numFmtId="175" fontId="3" fillId="0" borderId="17" xfId="0" applyNumberFormat="1" applyFont="1" applyBorder="1" applyAlignment="1">
      <alignment horizontal="left" vertical="top" indent="1"/>
    </xf>
    <xf numFmtId="0" fontId="0" fillId="0" borderId="18" xfId="0" applyNumberFormat="1" applyBorder="1"/>
    <xf numFmtId="0" fontId="25" fillId="20" borderId="20" xfId="0" applyNumberFormat="1" applyFont="1" applyFill="1" applyBorder="1" applyAlignment="1">
      <alignment horizontal="left"/>
    </xf>
    <xf numFmtId="0" fontId="33" fillId="0" borderId="21" xfId="0" applyNumberFormat="1" applyFont="1" applyBorder="1" applyAlignment="1">
      <alignment horizontal="right"/>
    </xf>
    <xf numFmtId="175" fontId="2" fillId="0" borderId="22" xfId="0" applyNumberFormat="1" applyFont="1" applyBorder="1" applyAlignment="1">
      <alignment horizontal="right"/>
    </xf>
    <xf numFmtId="175" fontId="2" fillId="0" borderId="22" xfId="0" applyNumberFormat="1" applyFont="1" applyBorder="1" applyAlignment="1">
      <alignment horizontal="center"/>
    </xf>
    <xf numFmtId="175" fontId="3" fillId="0" borderId="20" xfId="0" applyNumberFormat="1" applyFont="1" applyBorder="1" applyAlignment="1">
      <alignment horizontal="right" vertical="top"/>
    </xf>
    <xf numFmtId="0" fontId="0" fillId="0" borderId="21" xfId="0" applyNumberFormat="1" applyBorder="1"/>
    <xf numFmtId="0" fontId="35" fillId="0" borderId="0" xfId="0" applyFont="1" applyAlignment="1"/>
    <xf numFmtId="0" fontId="4" fillId="0" borderId="0" xfId="0" applyFont="1" applyAlignment="1">
      <alignment horizontal="right"/>
    </xf>
    <xf numFmtId="0" fontId="34" fillId="0" borderId="0" xfId="0" applyFont="1" applyAlignment="1">
      <alignment horizontal="right"/>
    </xf>
    <xf numFmtId="0" fontId="4" fillId="0" borderId="13" xfId="0" applyFont="1" applyBorder="1" applyAlignment="1">
      <alignment horizontal="left"/>
    </xf>
    <xf numFmtId="0" fontId="4" fillId="0" borderId="13" xfId="0" applyFont="1" applyBorder="1" applyAlignment="1">
      <alignment horizontal="left" indent="1"/>
    </xf>
    <xf numFmtId="0" fontId="4" fillId="0" borderId="13" xfId="0" applyFont="1" applyBorder="1" applyAlignment="1">
      <alignment horizontal="left" indent="1"/>
    </xf>
    <xf numFmtId="0" fontId="3" fillId="20" borderId="15" xfId="0" applyFont="1" applyFill="1" applyBorder="1" applyAlignment="1">
      <alignment horizontal="left"/>
    </xf>
    <xf numFmtId="0" fontId="27" fillId="20" borderId="15" xfId="0" applyFont="1" applyFill="1" applyBorder="1" applyAlignment="1">
      <alignment horizontal="right" wrapText="1"/>
    </xf>
    <xf numFmtId="0" fontId="3" fillId="20" borderId="23" xfId="0" applyFont="1" applyFill="1" applyBorder="1" applyAlignment="1">
      <alignment horizontal="right" wrapText="1"/>
    </xf>
    <xf numFmtId="0" fontId="3" fillId="20" borderId="23" xfId="0" applyFont="1" applyFill="1" applyBorder="1" applyAlignment="1">
      <alignment horizontal="right"/>
    </xf>
    <xf numFmtId="0" fontId="4" fillId="0" borderId="12" xfId="0" applyFont="1" applyBorder="1" applyAlignment="1">
      <alignment horizontal="left" indent="1"/>
    </xf>
    <xf numFmtId="0" fontId="3" fillId="20" borderId="24" xfId="0" applyFont="1" applyFill="1" applyBorder="1" applyAlignment="1">
      <alignment horizontal="right" wrapText="1"/>
    </xf>
    <xf numFmtId="0" fontId="4" fillId="0" borderId="12" xfId="0" applyFont="1" applyBorder="1" applyAlignment="1">
      <alignment horizontal="left" indent="1"/>
    </xf>
    <xf numFmtId="0" fontId="3" fillId="20" borderId="26" xfId="0" applyFont="1" applyFill="1" applyBorder="1" applyAlignment="1">
      <alignment horizontal="right"/>
    </xf>
    <xf numFmtId="0" fontId="3" fillId="20" borderId="26" xfId="0" applyFont="1" applyFill="1" applyBorder="1" applyAlignment="1">
      <alignment horizontal="left"/>
    </xf>
    <xf numFmtId="0" fontId="3" fillId="20" borderId="14" xfId="0" applyFont="1" applyFill="1" applyBorder="1"/>
    <xf numFmtId="175" fontId="2" fillId="0" borderId="14" xfId="0" applyNumberFormat="1" applyFont="1" applyBorder="1" applyAlignment="1">
      <alignment horizontal="right"/>
    </xf>
    <xf numFmtId="175" fontId="2" fillId="0" borderId="14" xfId="0" applyNumberFormat="1" applyFont="1" applyBorder="1" applyAlignment="1">
      <alignment horizontal="center"/>
    </xf>
    <xf numFmtId="175" fontId="2" fillId="0" borderId="27" xfId="0" applyNumberFormat="1" applyFont="1" applyBorder="1" applyAlignment="1">
      <alignment horizontal="center"/>
    </xf>
    <xf numFmtId="0" fontId="2" fillId="0" borderId="27" xfId="0" applyFont="1" applyBorder="1" applyAlignment="1">
      <alignment horizontal="right"/>
    </xf>
    <xf numFmtId="0" fontId="3" fillId="20" borderId="27" xfId="0" applyFont="1" applyFill="1" applyBorder="1"/>
    <xf numFmtId="0" fontId="3" fillId="20" borderId="27" xfId="0" applyFont="1" applyFill="1" applyBorder="1" applyAlignment="1">
      <alignment horizontal="left"/>
    </xf>
    <xf numFmtId="175" fontId="3" fillId="20" borderId="15" xfId="0" applyNumberFormat="1" applyFont="1" applyFill="1" applyBorder="1" applyAlignment="1">
      <alignment horizontal="center" vertical="top"/>
    </xf>
    <xf numFmtId="175" fontId="3" fillId="0" borderId="15" xfId="0" applyNumberFormat="1" applyFont="1" applyBorder="1" applyAlignment="1">
      <alignment horizontal="center" vertical="top"/>
    </xf>
    <xf numFmtId="175" fontId="3" fillId="20" borderId="16" xfId="0" applyNumberFormat="1" applyFont="1" applyFill="1" applyBorder="1" applyAlignment="1">
      <alignment vertical="top"/>
    </xf>
    <xf numFmtId="175" fontId="3" fillId="0" borderId="25" xfId="0" applyNumberFormat="1" applyFont="1" applyBorder="1" applyAlignment="1">
      <alignment horizontal="right" vertical="top"/>
    </xf>
    <xf numFmtId="185" fontId="4" fillId="0" borderId="13" xfId="0" applyNumberFormat="1" applyFont="1" applyBorder="1" applyAlignment="1">
      <alignment horizontal="left" indent="1"/>
    </xf>
    <xf numFmtId="185" fontId="3" fillId="20" borderId="15" xfId="0" applyNumberFormat="1" applyFont="1" applyFill="1" applyBorder="1" applyAlignment="1">
      <alignment horizontal="right"/>
    </xf>
    <xf numFmtId="185" fontId="0" fillId="0" borderId="0" xfId="0" applyNumberFormat="1"/>
    <xf numFmtId="185" fontId="0" fillId="0" borderId="14" xfId="0" applyNumberFormat="1" applyBorder="1"/>
    <xf numFmtId="185" fontId="0" fillId="0" borderId="0" xfId="0" applyNumberFormat="1" applyAlignment="1">
      <alignment horizontal="center"/>
    </xf>
    <xf numFmtId="185" fontId="0" fillId="0" borderId="14" xfId="0" applyNumberFormat="1" applyBorder="1" applyAlignment="1">
      <alignment horizontal="center"/>
    </xf>
    <xf numFmtId="185" fontId="3" fillId="0" borderId="15" xfId="0" applyNumberFormat="1" applyFont="1" applyBorder="1" applyAlignment="1">
      <alignment horizontal="center" vertical="top"/>
    </xf>
    <xf numFmtId="0" fontId="4" fillId="0" borderId="13" xfId="0" applyNumberFormat="1" applyFont="1" applyBorder="1" applyAlignment="1">
      <alignment horizontal="right"/>
    </xf>
    <xf numFmtId="0" fontId="4" fillId="0" borderId="13" xfId="0" applyFont="1" applyBorder="1" applyAlignment="1">
      <alignment horizontal="right"/>
    </xf>
    <xf numFmtId="0" fontId="3" fillId="20" borderId="0" xfId="0" applyNumberFormat="1" applyFont="1" applyFill="1" applyAlignment="1">
      <alignment horizontal="left"/>
    </xf>
    <xf numFmtId="0" fontId="3" fillId="2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3" fillId="20" borderId="0" xfId="0" applyNumberFormat="1" applyFont="1" applyFill="1" applyAlignment="1">
      <alignment horizontal="right"/>
    </xf>
    <xf numFmtId="0" fontId="3" fillId="20" borderId="0" xfId="0" applyNumberFormat="1" applyFont="1" applyFill="1" applyAlignment="1">
      <alignment horizontal="center"/>
    </xf>
    <xf numFmtId="0" fontId="2" fillId="0" borderId="0" xfId="0" applyNumberFormat="1" applyFont="1" applyAlignment="1">
      <alignment horizontal="left" indent="1"/>
    </xf>
    <xf numFmtId="206" fontId="0" fillId="0" borderId="0" xfId="0" applyNumberFormat="1" applyAlignment="1">
      <alignment horizontal="center"/>
    </xf>
    <xf numFmtId="0" fontId="3" fillId="20" borderId="12" xfId="0" applyNumberFormat="1" applyFont="1" applyFill="1" applyBorder="1" applyAlignment="1">
      <alignment horizontal="left"/>
    </xf>
    <xf numFmtId="0" fontId="3" fillId="20" borderId="12" xfId="0" applyNumberFormat="1" applyFont="1" applyFill="1" applyBorder="1" applyAlignment="1">
      <alignment horizontal="center"/>
    </xf>
    <xf numFmtId="206" fontId="0" fillId="0" borderId="12" xfId="0" applyNumberFormat="1" applyBorder="1" applyAlignment="1">
      <alignment horizontal="center"/>
    </xf>
    <xf numFmtId="175" fontId="3" fillId="0" borderId="27" xfId="0" applyNumberFormat="1" applyFont="1" applyBorder="1" applyAlignment="1">
      <alignment horizontal="center" vertical="top"/>
    </xf>
    <xf numFmtId="0" fontId="0" fillId="0" borderId="12" xfId="0" applyNumberFormat="1" applyBorder="1" applyAlignment="1"/>
    <xf numFmtId="0" fontId="0" fillId="0" borderId="12" xfId="0" applyBorder="1" applyAlignment="1">
      <alignment horizontal="center"/>
    </xf>
    <xf numFmtId="0" fontId="3" fillId="20" borderId="12" xfId="0" applyNumberFormat="1" applyFont="1" applyFill="1" applyBorder="1" applyAlignment="1">
      <alignment horizontal="right"/>
    </xf>
    <xf numFmtId="175" fontId="2" fillId="0" borderId="12" xfId="0" applyNumberFormat="1" applyFont="1" applyBorder="1" applyAlignment="1">
      <alignment horizontal="right"/>
    </xf>
    <xf numFmtId="175" fontId="3" fillId="0" borderId="27" xfId="0" applyNumberFormat="1" applyFont="1" applyBorder="1" applyAlignment="1">
      <alignment horizontal="right" vertical="top"/>
    </xf>
    <xf numFmtId="175" fontId="2" fillId="0" borderId="12" xfId="0" applyNumberFormat="1" applyFont="1" applyBorder="1" applyAlignment="1">
      <alignment horizontal="center"/>
    </xf>
    <xf numFmtId="0" fontId="2" fillId="0" borderId="28" xfId="0" applyNumberFormat="1" applyFont="1" applyBorder="1" applyAlignment="1"/>
    <xf numFmtId="0" fontId="0" fillId="0" borderId="28" xfId="0" applyNumberFormat="1" applyBorder="1" applyAlignment="1"/>
    <xf numFmtId="175" fontId="2" fillId="0" borderId="28" xfId="0" applyNumberFormat="1" applyFont="1" applyBorder="1" applyAlignment="1">
      <alignment horizontal="right"/>
    </xf>
    <xf numFmtId="0" fontId="5" fillId="0" borderId="13" xfId="0" applyNumberFormat="1" applyFont="1" applyBorder="1" applyAlignment="1">
      <alignment horizontal="left"/>
    </xf>
    <xf numFmtId="0" fontId="0" fillId="0" borderId="13" xfId="0" applyBorder="1" applyAlignment="1">
      <alignment horizontal="right"/>
    </xf>
    <xf numFmtId="0" fontId="0" fillId="0" borderId="12" xfId="0" applyNumberFormat="1" applyBorder="1" applyAlignment="1">
      <alignment horizontal="center"/>
    </xf>
  </cellXfs>
  <cellStyles count="44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Sheet Title" xfId="4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Earnings Items</a:t>
            </a:r>
          </a:p>
        </c:rich>
      </c:tx>
      <c:layout>
        <c:manualLayout>
          <c:xMode val="edge"/>
          <c:yMode val="edge"/>
          <c:x val="0.4214186369958276"/>
          <c:y val="3.53201644422695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713490959666214E-2"/>
          <c:y val="0.11479053443737591"/>
          <c:w val="0.89986091794158551"/>
          <c:h val="0.7682135766193618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C0C0"/>
            </a:solidFill>
            <a:ln w="3175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'Exp Summary'!$A$10:$A$14</c:f>
              <c:numCache>
                <c:formatCode>General</c:formatCode>
                <c:ptCount val="5"/>
              </c:numCache>
            </c:numRef>
          </c:cat>
          <c:val>
            <c:numRef>
              <c:f>'Exp Summary'!$B$10:$B$14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2261-4EC1-8AC3-6B47D1158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487304"/>
        <c:axId val="1"/>
      </c:barChart>
      <c:catAx>
        <c:axId val="38948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27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48730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Tax Expenses</a:t>
            </a:r>
          </a:p>
        </c:rich>
      </c:tx>
      <c:layout>
        <c:manualLayout>
          <c:xMode val="edge"/>
          <c:yMode val="edge"/>
          <c:x val="0.40413037560261056"/>
          <c:y val="3.53201644422695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696275661809296E-2"/>
          <c:y val="0.11258302415973406"/>
          <c:w val="0.89675645389192393"/>
          <c:h val="0.779251128007571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C0C0"/>
            </a:solidFill>
            <a:ln w="3175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'Exp Summary'!$D$10:$D$20</c:f>
              <c:numCache>
                <c:formatCode>General</c:formatCode>
                <c:ptCount val="11"/>
              </c:numCache>
            </c:numRef>
          </c:cat>
          <c:val>
            <c:numRef>
              <c:f>'Exp Summary'!$E$10:$E$20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7B4A-4F4E-ABAC-7A71D7847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965368"/>
        <c:axId val="1"/>
      </c:barChart>
      <c:catAx>
        <c:axId val="39096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09653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Employee Earnings</a:t>
            </a:r>
          </a:p>
        </c:rich>
      </c:tx>
      <c:layout>
        <c:manualLayout>
          <c:xMode val="edge"/>
          <c:yMode val="edge"/>
          <c:x val="0.43865909668135017"/>
          <c:y val="3.44828696173442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9243939778756681E-2"/>
          <c:y val="0.11359062932772222"/>
          <c:w val="0.94935814257378404"/>
          <c:h val="0.71805504967881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C0C0"/>
            </a:solidFill>
            <a:ln w="3175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'Exp Summary'!$A$25:$A$28</c:f>
              <c:numCache>
                <c:formatCode>General</c:formatCode>
                <c:ptCount val="4"/>
              </c:numCache>
            </c:numRef>
          </c:cat>
          <c:val>
            <c:numRef>
              <c:f>'Exp Summary'!$B$25:$B$28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7BE-4B10-90A0-E097193A5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963072"/>
        <c:axId val="1"/>
      </c:barChart>
      <c:catAx>
        <c:axId val="39096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27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09630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0</xdr:row>
          <xdr:rowOff>30480</xdr:rowOff>
        </xdr:from>
        <xdr:to>
          <xdr:col>9</xdr:col>
          <xdr:colOff>167640</xdr:colOff>
          <xdr:row>0</xdr:row>
          <xdr:rowOff>259080</xdr:rowOff>
        </xdr:to>
        <xdr:sp macro="" textlink="">
          <xdr:nvSpPr>
            <xdr:cNvPr id="12311" name="ComboBox1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</xdr:row>
      <xdr:rowOff>38100</xdr:rowOff>
    </xdr:from>
    <xdr:to>
      <xdr:col>7</xdr:col>
      <xdr:colOff>754380</xdr:colOff>
      <xdr:row>21</xdr:row>
      <xdr:rowOff>137160</xdr:rowOff>
    </xdr:to>
    <xdr:graphicFrame macro="">
      <xdr:nvGraphicFramePr>
        <xdr:cNvPr id="19467" name="Earning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792480</xdr:colOff>
      <xdr:row>1</xdr:row>
      <xdr:rowOff>38100</xdr:rowOff>
    </xdr:from>
    <xdr:to>
      <xdr:col>15</xdr:col>
      <xdr:colOff>594360</xdr:colOff>
      <xdr:row>21</xdr:row>
      <xdr:rowOff>137160</xdr:rowOff>
    </xdr:to>
    <xdr:graphicFrame macro="">
      <xdr:nvGraphicFramePr>
        <xdr:cNvPr id="19468" name="Tax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</xdr:colOff>
      <xdr:row>22</xdr:row>
      <xdr:rowOff>7620</xdr:rowOff>
    </xdr:from>
    <xdr:to>
      <xdr:col>15</xdr:col>
      <xdr:colOff>594360</xdr:colOff>
      <xdr:row>44</xdr:row>
      <xdr:rowOff>76200</xdr:rowOff>
    </xdr:to>
    <xdr:graphicFrame macro="">
      <xdr:nvGraphicFramePr>
        <xdr:cNvPr id="19469" name="Employe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0</xdr:col>
      <xdr:colOff>0</xdr:colOff>
      <xdr:row>3</xdr:row>
      <xdr:rowOff>327660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0580"/>
          <a:ext cx="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tuit\QuickBooks%202015\Components\Templates\State%20W2%20eFile%20Report%20110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teichma\My%20Documents\zipnov9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Please Turn on Macros"/>
      <sheetName val="CountyByZIP"/>
      <sheetName val="W-2 Report"/>
      <sheetName val="Detail Data"/>
      <sheetName val="Supporting Setting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Sheet4"/>
      <sheetName val="zipnov99"/>
    </sheetNames>
    <sheetDataSet>
      <sheetData sheetId="0">
        <row r="2">
          <cell r="A2">
            <v>1</v>
          </cell>
          <cell r="B2" t="str">
            <v>Adams County</v>
          </cell>
        </row>
        <row r="3">
          <cell r="A3">
            <v>3</v>
          </cell>
          <cell r="B3" t="str">
            <v>Allen County</v>
          </cell>
        </row>
        <row r="4">
          <cell r="A4">
            <v>5</v>
          </cell>
          <cell r="B4" t="str">
            <v>Bartholomew County</v>
          </cell>
        </row>
        <row r="5">
          <cell r="A5">
            <v>7</v>
          </cell>
          <cell r="B5" t="str">
            <v>Benton County</v>
          </cell>
        </row>
        <row r="6">
          <cell r="A6">
            <v>9</v>
          </cell>
          <cell r="B6" t="str">
            <v>Blackford County</v>
          </cell>
        </row>
        <row r="7">
          <cell r="A7">
            <v>11</v>
          </cell>
          <cell r="B7" t="str">
            <v>Boone County</v>
          </cell>
        </row>
        <row r="8">
          <cell r="A8">
            <v>13</v>
          </cell>
          <cell r="B8" t="str">
            <v>Brown County</v>
          </cell>
        </row>
        <row r="9">
          <cell r="A9">
            <v>15</v>
          </cell>
          <cell r="B9" t="str">
            <v>Carroll County</v>
          </cell>
        </row>
        <row r="10">
          <cell r="A10">
            <v>17</v>
          </cell>
          <cell r="B10" t="str">
            <v>Cass County</v>
          </cell>
        </row>
        <row r="11">
          <cell r="A11">
            <v>19</v>
          </cell>
          <cell r="B11" t="str">
            <v>Clark County</v>
          </cell>
        </row>
        <row r="12">
          <cell r="A12">
            <v>21</v>
          </cell>
          <cell r="B12" t="str">
            <v>Clay County</v>
          </cell>
        </row>
        <row r="13">
          <cell r="A13">
            <v>23</v>
          </cell>
          <cell r="B13" t="str">
            <v>Clinton County</v>
          </cell>
        </row>
        <row r="14">
          <cell r="A14">
            <v>25</v>
          </cell>
          <cell r="B14" t="str">
            <v>Crawford County</v>
          </cell>
        </row>
        <row r="15">
          <cell r="A15">
            <v>27</v>
          </cell>
          <cell r="B15" t="str">
            <v>Daviess County</v>
          </cell>
        </row>
        <row r="16">
          <cell r="A16">
            <v>29</v>
          </cell>
          <cell r="B16" t="str">
            <v>Dearborn County</v>
          </cell>
        </row>
        <row r="17">
          <cell r="A17">
            <v>31</v>
          </cell>
          <cell r="B17" t="str">
            <v>Decatur County</v>
          </cell>
        </row>
        <row r="18">
          <cell r="A18">
            <v>33</v>
          </cell>
          <cell r="B18" t="str">
            <v>DeKalb County</v>
          </cell>
        </row>
        <row r="19">
          <cell r="A19">
            <v>35</v>
          </cell>
          <cell r="B19" t="str">
            <v>Delaware County</v>
          </cell>
        </row>
        <row r="20">
          <cell r="A20">
            <v>37</v>
          </cell>
          <cell r="B20" t="str">
            <v>Dubois County</v>
          </cell>
        </row>
        <row r="21">
          <cell r="A21">
            <v>39</v>
          </cell>
          <cell r="B21" t="str">
            <v>Elkhart County</v>
          </cell>
        </row>
        <row r="22">
          <cell r="A22">
            <v>41</v>
          </cell>
          <cell r="B22" t="str">
            <v>Fayette County</v>
          </cell>
        </row>
        <row r="23">
          <cell r="A23">
            <v>43</v>
          </cell>
          <cell r="B23" t="str">
            <v>Floyd County</v>
          </cell>
        </row>
        <row r="24">
          <cell r="A24">
            <v>45</v>
          </cell>
          <cell r="B24" t="str">
            <v>Fountain County</v>
          </cell>
        </row>
        <row r="25">
          <cell r="A25">
            <v>47</v>
          </cell>
          <cell r="B25" t="str">
            <v>Franklin County</v>
          </cell>
        </row>
        <row r="26">
          <cell r="A26">
            <v>49</v>
          </cell>
          <cell r="B26" t="str">
            <v>Fulton County</v>
          </cell>
        </row>
        <row r="27">
          <cell r="A27">
            <v>51</v>
          </cell>
          <cell r="B27" t="str">
            <v>Gibson County</v>
          </cell>
        </row>
        <row r="28">
          <cell r="A28">
            <v>53</v>
          </cell>
          <cell r="B28" t="str">
            <v>Grant County</v>
          </cell>
        </row>
        <row r="29">
          <cell r="A29">
            <v>55</v>
          </cell>
          <cell r="B29" t="str">
            <v>Greene County</v>
          </cell>
        </row>
        <row r="30">
          <cell r="A30">
            <v>57</v>
          </cell>
          <cell r="B30" t="str">
            <v>Hamilton County</v>
          </cell>
        </row>
        <row r="31">
          <cell r="A31">
            <v>59</v>
          </cell>
          <cell r="B31" t="str">
            <v>Hancock County</v>
          </cell>
        </row>
        <row r="32">
          <cell r="A32">
            <v>61</v>
          </cell>
          <cell r="B32" t="str">
            <v>Harrison County</v>
          </cell>
        </row>
        <row r="33">
          <cell r="A33">
            <v>63</v>
          </cell>
          <cell r="B33" t="str">
            <v>Hendricks County</v>
          </cell>
        </row>
        <row r="34">
          <cell r="A34">
            <v>65</v>
          </cell>
          <cell r="B34" t="str">
            <v>Henry County</v>
          </cell>
        </row>
        <row r="35">
          <cell r="A35">
            <v>67</v>
          </cell>
          <cell r="B35" t="str">
            <v>Howard County</v>
          </cell>
        </row>
        <row r="36">
          <cell r="A36">
            <v>69</v>
          </cell>
          <cell r="B36" t="str">
            <v>Huntington County</v>
          </cell>
        </row>
        <row r="37">
          <cell r="A37">
            <v>71</v>
          </cell>
          <cell r="B37" t="str">
            <v>Jackson County</v>
          </cell>
        </row>
        <row r="38">
          <cell r="A38">
            <v>73</v>
          </cell>
          <cell r="B38" t="str">
            <v>Jasper County</v>
          </cell>
        </row>
        <row r="39">
          <cell r="A39">
            <v>75</v>
          </cell>
          <cell r="B39" t="str">
            <v>Jay County</v>
          </cell>
        </row>
        <row r="40">
          <cell r="A40">
            <v>77</v>
          </cell>
          <cell r="B40" t="str">
            <v>Jefferson County</v>
          </cell>
        </row>
        <row r="41">
          <cell r="A41">
            <v>79</v>
          </cell>
          <cell r="B41" t="str">
            <v>Jennings County</v>
          </cell>
        </row>
        <row r="42">
          <cell r="A42">
            <v>81</v>
          </cell>
          <cell r="B42" t="str">
            <v>Johnson County</v>
          </cell>
        </row>
        <row r="43">
          <cell r="A43">
            <v>83</v>
          </cell>
          <cell r="B43" t="str">
            <v>Knox County</v>
          </cell>
        </row>
        <row r="44">
          <cell r="A44">
            <v>85</v>
          </cell>
          <cell r="B44" t="str">
            <v>Kosciusko County</v>
          </cell>
        </row>
        <row r="45">
          <cell r="A45">
            <v>87</v>
          </cell>
          <cell r="B45" t="str">
            <v>LaGrange County</v>
          </cell>
        </row>
        <row r="46">
          <cell r="A46">
            <v>89</v>
          </cell>
          <cell r="B46" t="str">
            <v>Lake County</v>
          </cell>
        </row>
        <row r="47">
          <cell r="A47">
            <v>91</v>
          </cell>
          <cell r="B47" t="str">
            <v>LaPorte County</v>
          </cell>
        </row>
        <row r="48">
          <cell r="A48">
            <v>93</v>
          </cell>
          <cell r="B48" t="str">
            <v>Lawrence County</v>
          </cell>
        </row>
        <row r="49">
          <cell r="A49">
            <v>95</v>
          </cell>
          <cell r="B49" t="str">
            <v>Madison County</v>
          </cell>
        </row>
        <row r="50">
          <cell r="A50">
            <v>97</v>
          </cell>
          <cell r="B50" t="str">
            <v>Marion County</v>
          </cell>
        </row>
        <row r="51">
          <cell r="A51">
            <v>99</v>
          </cell>
          <cell r="B51" t="str">
            <v>Marshall County</v>
          </cell>
        </row>
        <row r="52">
          <cell r="A52">
            <v>101</v>
          </cell>
          <cell r="B52" t="str">
            <v>Martin County</v>
          </cell>
        </row>
        <row r="53">
          <cell r="A53">
            <v>103</v>
          </cell>
          <cell r="B53" t="str">
            <v>Miami County</v>
          </cell>
        </row>
        <row r="54">
          <cell r="A54">
            <v>105</v>
          </cell>
          <cell r="B54" t="str">
            <v>Monroe County</v>
          </cell>
        </row>
        <row r="55">
          <cell r="A55">
            <v>107</v>
          </cell>
          <cell r="B55" t="str">
            <v>Montgomery County</v>
          </cell>
        </row>
        <row r="56">
          <cell r="A56">
            <v>109</v>
          </cell>
          <cell r="B56" t="str">
            <v>Morgan County</v>
          </cell>
        </row>
        <row r="57">
          <cell r="A57">
            <v>111</v>
          </cell>
          <cell r="B57" t="str">
            <v>Newton County</v>
          </cell>
        </row>
        <row r="58">
          <cell r="A58">
            <v>113</v>
          </cell>
          <cell r="B58" t="str">
            <v>Noble County</v>
          </cell>
        </row>
        <row r="59">
          <cell r="A59">
            <v>115</v>
          </cell>
          <cell r="B59" t="str">
            <v>Ohio County</v>
          </cell>
        </row>
        <row r="60">
          <cell r="A60">
            <v>117</v>
          </cell>
          <cell r="B60" t="str">
            <v>Orange County</v>
          </cell>
        </row>
        <row r="61">
          <cell r="A61">
            <v>119</v>
          </cell>
          <cell r="B61" t="str">
            <v>Owen County</v>
          </cell>
        </row>
        <row r="62">
          <cell r="A62">
            <v>121</v>
          </cell>
          <cell r="B62" t="str">
            <v>Parke County</v>
          </cell>
        </row>
        <row r="63">
          <cell r="A63">
            <v>123</v>
          </cell>
          <cell r="B63" t="str">
            <v>Perry County</v>
          </cell>
        </row>
        <row r="64">
          <cell r="A64">
            <v>125</v>
          </cell>
          <cell r="B64" t="str">
            <v>Pike County</v>
          </cell>
        </row>
        <row r="65">
          <cell r="A65">
            <v>127</v>
          </cell>
          <cell r="B65" t="str">
            <v>Porter County</v>
          </cell>
        </row>
        <row r="66">
          <cell r="A66">
            <v>129</v>
          </cell>
          <cell r="B66" t="str">
            <v>Posey County</v>
          </cell>
        </row>
        <row r="67">
          <cell r="A67">
            <v>131</v>
          </cell>
          <cell r="B67" t="str">
            <v>Pulaski County</v>
          </cell>
        </row>
        <row r="68">
          <cell r="A68">
            <v>133</v>
          </cell>
          <cell r="B68" t="str">
            <v>Putnam County</v>
          </cell>
        </row>
        <row r="69">
          <cell r="A69">
            <v>135</v>
          </cell>
          <cell r="B69" t="str">
            <v>Randolph County</v>
          </cell>
        </row>
        <row r="70">
          <cell r="A70">
            <v>137</v>
          </cell>
          <cell r="B70" t="str">
            <v>Ripley County</v>
          </cell>
        </row>
        <row r="71">
          <cell r="A71">
            <v>139</v>
          </cell>
          <cell r="B71" t="str">
            <v>Rush County</v>
          </cell>
        </row>
        <row r="72">
          <cell r="A72">
            <v>141</v>
          </cell>
          <cell r="B72" t="str">
            <v>St. Joseph County</v>
          </cell>
        </row>
        <row r="73">
          <cell r="A73">
            <v>143</v>
          </cell>
          <cell r="B73" t="str">
            <v>Scott County</v>
          </cell>
        </row>
        <row r="74">
          <cell r="A74">
            <v>145</v>
          </cell>
          <cell r="B74" t="str">
            <v>Shelby County</v>
          </cell>
        </row>
        <row r="75">
          <cell r="A75">
            <v>147</v>
          </cell>
          <cell r="B75" t="str">
            <v>Spencer County</v>
          </cell>
        </row>
        <row r="76">
          <cell r="A76">
            <v>149</v>
          </cell>
          <cell r="B76" t="str">
            <v>Starke County</v>
          </cell>
        </row>
        <row r="77">
          <cell r="A77">
            <v>151</v>
          </cell>
          <cell r="B77" t="str">
            <v>Steuben County</v>
          </cell>
        </row>
        <row r="78">
          <cell r="A78">
            <v>153</v>
          </cell>
          <cell r="B78" t="str">
            <v>Sullivan County</v>
          </cell>
        </row>
        <row r="79">
          <cell r="A79">
            <v>155</v>
          </cell>
          <cell r="B79" t="str">
            <v>Switzerland County</v>
          </cell>
        </row>
        <row r="80">
          <cell r="A80">
            <v>157</v>
          </cell>
          <cell r="B80" t="str">
            <v>Tippecanoe County</v>
          </cell>
        </row>
        <row r="81">
          <cell r="A81">
            <v>159</v>
          </cell>
          <cell r="B81" t="str">
            <v>Tipton County</v>
          </cell>
        </row>
        <row r="82">
          <cell r="A82">
            <v>161</v>
          </cell>
          <cell r="B82" t="str">
            <v>Union County</v>
          </cell>
        </row>
        <row r="83">
          <cell r="A83">
            <v>163</v>
          </cell>
          <cell r="B83" t="str">
            <v>Vanderburgh County</v>
          </cell>
        </row>
        <row r="84">
          <cell r="A84">
            <v>165</v>
          </cell>
          <cell r="B84" t="str">
            <v>Vermillion County</v>
          </cell>
        </row>
        <row r="85">
          <cell r="A85">
            <v>167</v>
          </cell>
          <cell r="B85" t="str">
            <v>Vigo County</v>
          </cell>
        </row>
        <row r="86">
          <cell r="A86">
            <v>169</v>
          </cell>
          <cell r="B86" t="str">
            <v>Wabash County</v>
          </cell>
        </row>
        <row r="87">
          <cell r="A87">
            <v>171</v>
          </cell>
          <cell r="B87" t="str">
            <v>Warren County</v>
          </cell>
        </row>
        <row r="88">
          <cell r="A88">
            <v>173</v>
          </cell>
          <cell r="B88" t="str">
            <v>Warrick County</v>
          </cell>
        </row>
        <row r="89">
          <cell r="A89">
            <v>175</v>
          </cell>
          <cell r="B89" t="str">
            <v>Washington County</v>
          </cell>
        </row>
        <row r="90">
          <cell r="A90">
            <v>177</v>
          </cell>
          <cell r="B90" t="str">
            <v>Wayne County</v>
          </cell>
        </row>
        <row r="91">
          <cell r="A91">
            <v>179</v>
          </cell>
          <cell r="B91" t="str">
            <v>Wells County</v>
          </cell>
        </row>
        <row r="92">
          <cell r="A92">
            <v>181</v>
          </cell>
          <cell r="B92" t="str">
            <v>White County</v>
          </cell>
        </row>
        <row r="93">
          <cell r="A93">
            <v>183</v>
          </cell>
          <cell r="B93" t="str">
            <v>Whitley County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R127"/>
  <sheetViews>
    <sheetView showGridLines="0" workbookViewId="0">
      <selection sqref="A1:C1"/>
    </sheetView>
  </sheetViews>
  <sheetFormatPr defaultRowHeight="13.2" x14ac:dyDescent="0.25"/>
  <cols>
    <col min="1" max="1" width="34.44140625" style="12" bestFit="1" customWidth="1"/>
    <col min="2" max="2" width="11.33203125" style="6" bestFit="1" customWidth="1"/>
    <col min="3" max="3" width="9.109375" style="11" bestFit="1" customWidth="1"/>
    <col min="4" max="4" width="8.21875" style="4" bestFit="1" customWidth="1"/>
    <col min="5" max="5" width="9" bestFit="1" customWidth="1"/>
    <col min="6" max="6" width="6" bestFit="1" customWidth="1"/>
    <col min="7" max="7" width="8.109375" style="4" bestFit="1" customWidth="1"/>
    <col min="8" max="8" width="9.109375" style="4" bestFit="1" customWidth="1"/>
    <col min="9" max="10" width="8.77734375" style="4" bestFit="1" customWidth="1"/>
    <col min="11" max="13" width="8.44140625" style="4" bestFit="1" customWidth="1"/>
    <col min="14" max="14" width="7.21875" style="4" bestFit="1" customWidth="1"/>
    <col min="15" max="15" width="9.21875" style="4" bestFit="1" customWidth="1"/>
    <col min="16" max="16" width="9.44140625" style="4" bestFit="1" customWidth="1"/>
    <col min="17" max="17" width="10.44140625" style="4" bestFit="1" customWidth="1"/>
    <col min="18" max="18" width="9.109375" bestFit="1" customWidth="1"/>
    <col min="19" max="19" width="10.109375" bestFit="1" customWidth="1"/>
    <col min="20" max="20" width="10.33203125" bestFit="1" customWidth="1"/>
    <col min="21" max="21" width="11.5546875" bestFit="1" customWidth="1"/>
    <col min="22" max="22" width="11" bestFit="1" customWidth="1"/>
    <col min="23" max="23" width="8.88671875" bestFit="1" customWidth="1"/>
    <col min="24" max="24" width="5.5546875" bestFit="1" customWidth="1"/>
    <col min="25" max="25" width="10.109375" bestFit="1" customWidth="1"/>
    <col min="26" max="26" width="8.88671875" bestFit="1" customWidth="1"/>
    <col min="27" max="27" width="7.5546875" bestFit="1" customWidth="1"/>
    <col min="28" max="28" width="10.6640625" customWidth="1"/>
    <col min="30" max="30" width="6.88671875" bestFit="1" customWidth="1"/>
    <col min="31" max="31" width="10.109375" bestFit="1" customWidth="1"/>
    <col min="32" max="32" width="10.33203125" bestFit="1" customWidth="1"/>
    <col min="33" max="33" width="10.6640625" customWidth="1"/>
    <col min="34" max="34" width="7.109375" bestFit="1" customWidth="1"/>
    <col min="35" max="35" width="10.109375" bestFit="1" customWidth="1"/>
    <col min="36" max="36" width="10.6640625" customWidth="1"/>
    <col min="37" max="37" width="10.109375" bestFit="1" customWidth="1"/>
  </cols>
  <sheetData>
    <row r="1" spans="1:18" ht="21" x14ac:dyDescent="0.4">
      <c r="A1" s="81" t="s">
        <v>417</v>
      </c>
      <c r="B1" s="81"/>
      <c r="C1" s="81"/>
      <c r="D1"/>
      <c r="G1"/>
      <c r="H1"/>
      <c r="I1"/>
      <c r="J1"/>
      <c r="K1"/>
      <c r="L1"/>
      <c r="M1"/>
      <c r="N1"/>
      <c r="O1" s="82" t="s">
        <v>418</v>
      </c>
      <c r="P1" s="83"/>
      <c r="Q1" s="83"/>
      <c r="R1" s="83"/>
    </row>
    <row r="2" spans="1:18" ht="15.6" x14ac:dyDescent="0.3">
      <c r="A2" s="85" t="s">
        <v>128</v>
      </c>
      <c r="B2" s="93"/>
      <c r="C2" s="107" t="s">
        <v>419</v>
      </c>
      <c r="D2" s="107"/>
      <c r="E2" s="107"/>
      <c r="F2" s="93"/>
      <c r="G2" s="85" t="s">
        <v>420</v>
      </c>
      <c r="H2" s="85"/>
      <c r="I2" s="85"/>
      <c r="J2" s="85"/>
      <c r="K2" s="86"/>
      <c r="L2" s="86"/>
      <c r="M2" s="86"/>
      <c r="N2" s="86"/>
      <c r="O2" s="86"/>
      <c r="P2" s="86"/>
      <c r="Q2" s="91"/>
      <c r="R2" s="86"/>
    </row>
    <row r="3" spans="1:18" ht="30" customHeight="1" x14ac:dyDescent="0.25">
      <c r="A3" s="87" t="s">
        <v>421</v>
      </c>
      <c r="B3" s="95" t="s">
        <v>123</v>
      </c>
      <c r="C3" s="108" t="s">
        <v>121</v>
      </c>
      <c r="D3" s="108" t="s">
        <v>122</v>
      </c>
      <c r="E3" s="108" t="s">
        <v>422</v>
      </c>
      <c r="F3" s="94" t="s">
        <v>423</v>
      </c>
      <c r="G3" s="88" t="s">
        <v>125</v>
      </c>
      <c r="H3" s="88" t="s">
        <v>424</v>
      </c>
      <c r="I3" s="88" t="s">
        <v>425</v>
      </c>
      <c r="J3" s="88" t="s">
        <v>426</v>
      </c>
      <c r="K3" s="88" t="s">
        <v>427</v>
      </c>
      <c r="L3" s="88" t="s">
        <v>428</v>
      </c>
      <c r="M3" s="88" t="s">
        <v>429</v>
      </c>
      <c r="N3" s="88" t="s">
        <v>134</v>
      </c>
      <c r="O3" s="88" t="s">
        <v>161</v>
      </c>
      <c r="P3" s="89" t="s">
        <v>130</v>
      </c>
      <c r="Q3" s="92" t="s">
        <v>199</v>
      </c>
      <c r="R3" s="90" t="s">
        <v>293</v>
      </c>
    </row>
    <row r="4" spans="1:18" x14ac:dyDescent="0.25">
      <c r="A4"/>
      <c r="B4"/>
      <c r="C4" s="109"/>
      <c r="D4" s="109"/>
      <c r="E4" s="109"/>
      <c r="G4"/>
      <c r="H4"/>
      <c r="I4"/>
      <c r="J4"/>
      <c r="K4"/>
      <c r="L4"/>
      <c r="M4"/>
      <c r="N4"/>
      <c r="O4"/>
      <c r="P4"/>
      <c r="Q4"/>
    </row>
    <row r="5" spans="1:18" ht="14.25" customHeight="1" x14ac:dyDescent="0.25">
      <c r="A5" s="96" t="s">
        <v>148</v>
      </c>
      <c r="B5" s="101" t="s">
        <v>149</v>
      </c>
      <c r="C5" s="110">
        <v>42961</v>
      </c>
      <c r="D5" s="110">
        <v>42974</v>
      </c>
      <c r="E5" s="110">
        <v>42977</v>
      </c>
      <c r="F5" s="100">
        <v>19502</v>
      </c>
      <c r="G5" s="97">
        <v>53.5</v>
      </c>
      <c r="H5" s="97">
        <v>654.90000000000009</v>
      </c>
      <c r="I5" s="97">
        <v>-44</v>
      </c>
      <c r="J5" s="97">
        <v>-40.61</v>
      </c>
      <c r="K5" s="97">
        <v>-9.5</v>
      </c>
      <c r="L5" s="98">
        <v>0</v>
      </c>
      <c r="M5" s="97">
        <v>-2.83</v>
      </c>
      <c r="N5" s="97">
        <v>-5.9</v>
      </c>
      <c r="O5" s="98">
        <v>0</v>
      </c>
      <c r="P5" s="98">
        <v>0</v>
      </c>
      <c r="Q5" s="99">
        <v>0</v>
      </c>
      <c r="R5" s="97">
        <f>SUM($H5:Q5)</f>
        <v>552.06000000000006</v>
      </c>
    </row>
    <row r="6" spans="1:18" x14ac:dyDescent="0.25">
      <c r="A6"/>
      <c r="B6"/>
      <c r="C6" s="109"/>
      <c r="D6" s="109"/>
      <c r="E6" s="109"/>
      <c r="G6"/>
      <c r="H6"/>
      <c r="I6"/>
      <c r="J6"/>
      <c r="K6"/>
      <c r="L6"/>
      <c r="M6"/>
      <c r="N6"/>
      <c r="O6"/>
      <c r="P6"/>
      <c r="Q6"/>
    </row>
    <row r="7" spans="1:18" ht="14.25" customHeight="1" x14ac:dyDescent="0.25">
      <c r="A7" s="96" t="s">
        <v>150</v>
      </c>
      <c r="B7" s="101" t="s">
        <v>151</v>
      </c>
      <c r="C7" s="110">
        <v>42961</v>
      </c>
      <c r="D7" s="110">
        <v>42974</v>
      </c>
      <c r="E7" s="110">
        <v>42977</v>
      </c>
      <c r="F7" s="100">
        <v>19503</v>
      </c>
      <c r="G7" s="97">
        <v>100.73</v>
      </c>
      <c r="H7" s="97">
        <v>1333.1399999999999</v>
      </c>
      <c r="I7" s="97">
        <v>-99</v>
      </c>
      <c r="J7" s="97">
        <v>-82.65</v>
      </c>
      <c r="K7" s="97">
        <v>-19.329999999999998</v>
      </c>
      <c r="L7" s="98">
        <v>0</v>
      </c>
      <c r="M7" s="97">
        <v>-18.57</v>
      </c>
      <c r="N7" s="97">
        <v>-12</v>
      </c>
      <c r="O7" s="98">
        <v>0</v>
      </c>
      <c r="P7" s="98">
        <v>0</v>
      </c>
      <c r="Q7" s="99">
        <v>0</v>
      </c>
      <c r="R7" s="97">
        <f>SUM($H7:Q7)</f>
        <v>1101.5899999999999</v>
      </c>
    </row>
    <row r="8" spans="1:18" x14ac:dyDescent="0.25">
      <c r="A8"/>
      <c r="B8"/>
      <c r="C8" s="109"/>
      <c r="D8" s="109"/>
      <c r="E8" s="109"/>
      <c r="G8"/>
      <c r="H8"/>
      <c r="I8"/>
      <c r="J8"/>
      <c r="K8"/>
      <c r="L8"/>
      <c r="M8"/>
      <c r="N8"/>
      <c r="O8"/>
      <c r="P8"/>
      <c r="Q8"/>
    </row>
    <row r="9" spans="1:18" ht="14.25" customHeight="1" x14ac:dyDescent="0.25">
      <c r="A9" s="96" t="s">
        <v>152</v>
      </c>
      <c r="B9" s="101" t="s">
        <v>153</v>
      </c>
      <c r="C9" s="110">
        <v>42961</v>
      </c>
      <c r="D9" s="110">
        <v>42974</v>
      </c>
      <c r="E9" s="110">
        <v>42977</v>
      </c>
      <c r="F9" s="100">
        <v>19504</v>
      </c>
      <c r="G9" s="97">
        <v>57.07</v>
      </c>
      <c r="H9" s="97">
        <v>698.28000000000009</v>
      </c>
      <c r="I9" s="98">
        <v>0</v>
      </c>
      <c r="J9" s="97">
        <v>-43.29</v>
      </c>
      <c r="K9" s="97">
        <v>-10.130000000000001</v>
      </c>
      <c r="L9" s="98">
        <v>0</v>
      </c>
      <c r="M9" s="98">
        <v>0</v>
      </c>
      <c r="N9" s="97">
        <v>-6.29</v>
      </c>
      <c r="O9" s="98">
        <v>0</v>
      </c>
      <c r="P9" s="98">
        <v>0</v>
      </c>
      <c r="Q9" s="99">
        <v>0</v>
      </c>
      <c r="R9" s="97">
        <f>SUM($H9:Q9)</f>
        <v>638.57000000000016</v>
      </c>
    </row>
    <row r="10" spans="1:18" x14ac:dyDescent="0.25">
      <c r="A10"/>
      <c r="B10"/>
      <c r="C10" s="109"/>
      <c r="D10" s="109"/>
      <c r="E10" s="109"/>
      <c r="G10"/>
      <c r="H10"/>
      <c r="I10"/>
      <c r="J10"/>
      <c r="K10"/>
      <c r="L10"/>
      <c r="M10"/>
      <c r="N10"/>
      <c r="O10"/>
      <c r="P10"/>
      <c r="Q10"/>
    </row>
    <row r="11" spans="1:18" ht="14.25" customHeight="1" x14ac:dyDescent="0.25">
      <c r="A11" s="96" t="s">
        <v>154</v>
      </c>
      <c r="B11" s="101" t="s">
        <v>155</v>
      </c>
      <c r="C11" s="110">
        <v>42961</v>
      </c>
      <c r="D11" s="110">
        <v>42974</v>
      </c>
      <c r="E11" s="110">
        <v>42977</v>
      </c>
      <c r="F11" s="100">
        <v>19505</v>
      </c>
      <c r="G11" s="97">
        <v>80</v>
      </c>
      <c r="H11" s="97">
        <v>960</v>
      </c>
      <c r="I11" s="97">
        <v>-113</v>
      </c>
      <c r="J11" s="97">
        <v>-59.52</v>
      </c>
      <c r="K11" s="97">
        <v>-13.92</v>
      </c>
      <c r="L11" s="98">
        <v>0</v>
      </c>
      <c r="M11" s="97">
        <v>-15.78</v>
      </c>
      <c r="N11" s="97">
        <v>-8.64</v>
      </c>
      <c r="O11" s="98">
        <v>0</v>
      </c>
      <c r="P11" s="98">
        <v>0</v>
      </c>
      <c r="Q11" s="99">
        <v>0</v>
      </c>
      <c r="R11" s="97">
        <f>SUM($H11:Q11)</f>
        <v>749.1400000000001</v>
      </c>
    </row>
    <row r="12" spans="1:18" x14ac:dyDescent="0.25">
      <c r="A12"/>
      <c r="B12"/>
      <c r="C12" s="109"/>
      <c r="D12" s="109"/>
      <c r="E12" s="109"/>
      <c r="G12"/>
      <c r="H12"/>
      <c r="I12"/>
      <c r="J12"/>
      <c r="K12"/>
      <c r="L12"/>
      <c r="M12"/>
      <c r="N12"/>
      <c r="O12"/>
      <c r="P12"/>
      <c r="Q12"/>
    </row>
    <row r="13" spans="1:18" ht="14.25" customHeight="1" x14ac:dyDescent="0.25">
      <c r="A13" s="96" t="s">
        <v>156</v>
      </c>
      <c r="B13" s="101" t="s">
        <v>157</v>
      </c>
      <c r="C13" s="110">
        <v>42961</v>
      </c>
      <c r="D13" s="110">
        <v>42974</v>
      </c>
      <c r="E13" s="110">
        <v>42977</v>
      </c>
      <c r="F13" s="100">
        <v>19506</v>
      </c>
      <c r="G13" s="98">
        <v>0</v>
      </c>
      <c r="H13" s="97">
        <v>525.72</v>
      </c>
      <c r="I13" s="98">
        <v>0</v>
      </c>
      <c r="J13" s="97">
        <v>-32.590000000000003</v>
      </c>
      <c r="K13" s="97">
        <v>-7.62</v>
      </c>
      <c r="L13" s="98">
        <v>0</v>
      </c>
      <c r="M13" s="98">
        <v>0</v>
      </c>
      <c r="N13" s="97">
        <v>-4.74</v>
      </c>
      <c r="O13" s="97">
        <v>-480.77</v>
      </c>
      <c r="P13" s="98">
        <v>0</v>
      </c>
      <c r="Q13" s="99">
        <v>0</v>
      </c>
      <c r="R13" s="98">
        <f>SUM($H13:Q13)</f>
        <v>0</v>
      </c>
    </row>
    <row r="14" spans="1:18" x14ac:dyDescent="0.25">
      <c r="A14"/>
      <c r="B14"/>
      <c r="C14" s="109"/>
      <c r="D14" s="109"/>
      <c r="E14" s="109"/>
      <c r="G14"/>
      <c r="H14"/>
      <c r="I14"/>
      <c r="J14"/>
      <c r="K14"/>
      <c r="L14"/>
      <c r="M14"/>
      <c r="N14"/>
      <c r="O14"/>
      <c r="P14"/>
      <c r="Q14"/>
    </row>
    <row r="15" spans="1:18" ht="14.25" customHeight="1" x14ac:dyDescent="0.25">
      <c r="A15" s="96" t="s">
        <v>162</v>
      </c>
      <c r="B15" s="101" t="s">
        <v>163</v>
      </c>
      <c r="C15" s="110">
        <v>42961</v>
      </c>
      <c r="D15" s="110">
        <v>42974</v>
      </c>
      <c r="E15" s="110">
        <v>42977</v>
      </c>
      <c r="F15" s="100">
        <v>19507</v>
      </c>
      <c r="G15" s="97">
        <v>80</v>
      </c>
      <c r="H15" s="97">
        <v>2500</v>
      </c>
      <c r="I15" s="97">
        <v>-147</v>
      </c>
      <c r="J15" s="97">
        <v>-155</v>
      </c>
      <c r="K15" s="97">
        <v>-36.25</v>
      </c>
      <c r="L15" s="98">
        <v>0</v>
      </c>
      <c r="M15" s="97">
        <v>-21.85</v>
      </c>
      <c r="N15" s="97">
        <v>-22.5</v>
      </c>
      <c r="O15" s="97">
        <v>-480.77</v>
      </c>
      <c r="P15" s="98">
        <v>0</v>
      </c>
      <c r="Q15" s="99">
        <v>0</v>
      </c>
      <c r="R15" s="97">
        <f>SUM($H15:Q15)</f>
        <v>1636.63</v>
      </c>
    </row>
    <row r="16" spans="1:18" x14ac:dyDescent="0.25">
      <c r="A16"/>
      <c r="B16"/>
      <c r="C16" s="109"/>
      <c r="D16" s="109"/>
      <c r="E16" s="109"/>
      <c r="G16"/>
      <c r="H16"/>
      <c r="I16"/>
      <c r="J16"/>
      <c r="K16"/>
      <c r="L16"/>
      <c r="M16"/>
      <c r="N16"/>
      <c r="O16"/>
      <c r="P16"/>
      <c r="Q16"/>
    </row>
    <row r="17" spans="1:18" ht="14.25" customHeight="1" x14ac:dyDescent="0.25">
      <c r="A17" s="96" t="s">
        <v>164</v>
      </c>
      <c r="B17" s="101" t="s">
        <v>165</v>
      </c>
      <c r="C17" s="110">
        <v>42961</v>
      </c>
      <c r="D17" s="110">
        <v>42974</v>
      </c>
      <c r="E17" s="110">
        <v>42977</v>
      </c>
      <c r="F17" s="100">
        <v>19508</v>
      </c>
      <c r="G17" s="97">
        <v>80</v>
      </c>
      <c r="H17" s="97">
        <v>960</v>
      </c>
      <c r="I17" s="97">
        <v>-113</v>
      </c>
      <c r="J17" s="97">
        <v>-59.52</v>
      </c>
      <c r="K17" s="97">
        <v>-13.92</v>
      </c>
      <c r="L17" s="98">
        <v>0</v>
      </c>
      <c r="M17" s="97">
        <v>-15.78</v>
      </c>
      <c r="N17" s="97">
        <v>-8.64</v>
      </c>
      <c r="O17" s="98">
        <v>0</v>
      </c>
      <c r="P17" s="98">
        <v>0</v>
      </c>
      <c r="Q17" s="99">
        <v>0</v>
      </c>
      <c r="R17" s="97">
        <f>SUM($H17:Q17)</f>
        <v>749.1400000000001</v>
      </c>
    </row>
    <row r="18" spans="1:18" x14ac:dyDescent="0.25">
      <c r="A18"/>
      <c r="B18"/>
      <c r="C18" s="109"/>
      <c r="D18" s="109"/>
      <c r="E18" s="109"/>
      <c r="G18"/>
      <c r="H18"/>
      <c r="I18"/>
      <c r="J18"/>
      <c r="K18"/>
      <c r="L18"/>
      <c r="M18"/>
      <c r="N18"/>
      <c r="O18"/>
      <c r="P18"/>
      <c r="Q18"/>
    </row>
    <row r="19" spans="1:18" ht="14.25" customHeight="1" x14ac:dyDescent="0.25">
      <c r="A19" s="96" t="s">
        <v>166</v>
      </c>
      <c r="B19" s="101" t="s">
        <v>167</v>
      </c>
      <c r="C19" s="110">
        <v>42961</v>
      </c>
      <c r="D19" s="110">
        <v>42974</v>
      </c>
      <c r="E19" s="110">
        <v>42977</v>
      </c>
      <c r="F19" s="100">
        <v>19509</v>
      </c>
      <c r="G19" s="97">
        <v>39.450000000000003</v>
      </c>
      <c r="H19" s="97">
        <v>558.80999999999995</v>
      </c>
      <c r="I19" s="97">
        <v>-53</v>
      </c>
      <c r="J19" s="97">
        <v>-34.64</v>
      </c>
      <c r="K19" s="97">
        <v>-8.1</v>
      </c>
      <c r="L19" s="98">
        <v>0</v>
      </c>
      <c r="M19" s="97">
        <v>-5.41</v>
      </c>
      <c r="N19" s="97">
        <v>-5.03</v>
      </c>
      <c r="O19" s="98">
        <v>0</v>
      </c>
      <c r="P19" s="97">
        <v>-100</v>
      </c>
      <c r="Q19" s="99">
        <v>0</v>
      </c>
      <c r="R19" s="97">
        <f>SUM($H19:Q19)</f>
        <v>352.62999999999994</v>
      </c>
    </row>
    <row r="20" spans="1:18" x14ac:dyDescent="0.25">
      <c r="A20"/>
      <c r="B20"/>
      <c r="C20" s="109"/>
      <c r="D20" s="109"/>
      <c r="E20" s="109"/>
      <c r="G20"/>
      <c r="H20"/>
      <c r="I20"/>
      <c r="J20"/>
      <c r="K20"/>
      <c r="L20"/>
      <c r="M20"/>
      <c r="N20"/>
      <c r="O20"/>
      <c r="P20"/>
      <c r="Q20"/>
    </row>
    <row r="21" spans="1:18" ht="14.25" customHeight="1" x14ac:dyDescent="0.25">
      <c r="A21" s="96" t="s">
        <v>168</v>
      </c>
      <c r="B21" s="101" t="s">
        <v>169</v>
      </c>
      <c r="C21" s="110">
        <v>42961</v>
      </c>
      <c r="D21" s="110">
        <v>42974</v>
      </c>
      <c r="E21" s="110">
        <v>42977</v>
      </c>
      <c r="F21" s="100">
        <v>19510</v>
      </c>
      <c r="G21" s="97">
        <v>1.8</v>
      </c>
      <c r="H21" s="97">
        <v>23.4</v>
      </c>
      <c r="I21" s="98">
        <v>0</v>
      </c>
      <c r="J21" s="97">
        <v>-1.45</v>
      </c>
      <c r="K21" s="97">
        <v>-0.34</v>
      </c>
      <c r="L21" s="98">
        <v>0</v>
      </c>
      <c r="M21" s="98">
        <v>0</v>
      </c>
      <c r="N21" s="97">
        <v>-0.21</v>
      </c>
      <c r="O21" s="98">
        <v>0</v>
      </c>
      <c r="P21" s="98">
        <v>0</v>
      </c>
      <c r="Q21" s="99">
        <v>0</v>
      </c>
      <c r="R21" s="97">
        <f>SUM($H21:Q21)</f>
        <v>21.4</v>
      </c>
    </row>
    <row r="22" spans="1:18" x14ac:dyDescent="0.25">
      <c r="A22"/>
      <c r="B22"/>
      <c r="C22" s="109"/>
      <c r="D22" s="109"/>
      <c r="E22" s="109"/>
      <c r="G22"/>
      <c r="H22"/>
      <c r="I22"/>
      <c r="J22"/>
      <c r="K22"/>
      <c r="L22"/>
      <c r="M22"/>
      <c r="N22"/>
      <c r="O22"/>
      <c r="P22"/>
      <c r="Q22"/>
    </row>
    <row r="23" spans="1:18" ht="14.25" customHeight="1" x14ac:dyDescent="0.25">
      <c r="A23" s="96" t="s">
        <v>251</v>
      </c>
      <c r="B23" s="101" t="s">
        <v>252</v>
      </c>
      <c r="C23" s="110">
        <v>42961</v>
      </c>
      <c r="D23" s="110">
        <v>42974</v>
      </c>
      <c r="E23" s="110">
        <v>42977</v>
      </c>
      <c r="F23" s="100">
        <v>19511</v>
      </c>
      <c r="G23" s="97">
        <v>80.72</v>
      </c>
      <c r="H23" s="97">
        <v>1035.44</v>
      </c>
      <c r="I23" s="97">
        <v>-39</v>
      </c>
      <c r="J23" s="97">
        <v>-64.2</v>
      </c>
      <c r="K23" s="97">
        <v>-15.02</v>
      </c>
      <c r="L23" s="98">
        <v>0</v>
      </c>
      <c r="M23" s="98">
        <v>0</v>
      </c>
      <c r="N23" s="97">
        <v>-9.32</v>
      </c>
      <c r="O23" s="98">
        <v>0</v>
      </c>
      <c r="P23" s="98">
        <v>0</v>
      </c>
      <c r="Q23" s="99">
        <v>0</v>
      </c>
      <c r="R23" s="97">
        <f>SUM($H23:Q23)</f>
        <v>907.9</v>
      </c>
    </row>
    <row r="24" spans="1:18" x14ac:dyDescent="0.25">
      <c r="A24"/>
      <c r="B24"/>
      <c r="C24" s="109"/>
      <c r="D24" s="109"/>
      <c r="E24" s="109"/>
      <c r="G24"/>
      <c r="H24"/>
      <c r="I24"/>
      <c r="J24"/>
      <c r="K24"/>
      <c r="L24"/>
      <c r="M24"/>
      <c r="N24"/>
      <c r="O24"/>
      <c r="P24"/>
      <c r="Q24"/>
    </row>
    <row r="25" spans="1:18" ht="14.25" customHeight="1" x14ac:dyDescent="0.25">
      <c r="A25" s="96" t="s">
        <v>170</v>
      </c>
      <c r="B25" s="101" t="s">
        <v>171</v>
      </c>
      <c r="C25" s="110">
        <v>42961</v>
      </c>
      <c r="D25" s="110">
        <v>42974</v>
      </c>
      <c r="E25" s="110">
        <v>42977</v>
      </c>
      <c r="F25" s="100">
        <v>19512</v>
      </c>
      <c r="G25" s="97">
        <v>53.4</v>
      </c>
      <c r="H25" s="97">
        <v>747.6</v>
      </c>
      <c r="I25" s="98">
        <v>0</v>
      </c>
      <c r="J25" s="97">
        <v>-46.35</v>
      </c>
      <c r="K25" s="97">
        <v>-10.84</v>
      </c>
      <c r="L25" s="98">
        <v>0</v>
      </c>
      <c r="M25" s="98">
        <v>0</v>
      </c>
      <c r="N25" s="97">
        <v>-6.73</v>
      </c>
      <c r="O25" s="98">
        <v>0</v>
      </c>
      <c r="P25" s="98">
        <v>0</v>
      </c>
      <c r="Q25" s="99">
        <v>0</v>
      </c>
      <c r="R25" s="97">
        <f>SUM($H25:Q25)</f>
        <v>683.68</v>
      </c>
    </row>
    <row r="26" spans="1:18" x14ac:dyDescent="0.25">
      <c r="A26"/>
      <c r="B26"/>
      <c r="C26" s="109"/>
      <c r="D26" s="109"/>
      <c r="E26" s="109"/>
      <c r="G26"/>
      <c r="H26"/>
      <c r="I26"/>
      <c r="J26"/>
      <c r="K26"/>
      <c r="L26"/>
      <c r="M26"/>
      <c r="N26"/>
      <c r="O26"/>
      <c r="P26"/>
      <c r="Q26"/>
    </row>
    <row r="27" spans="1:18" ht="14.25" customHeight="1" x14ac:dyDescent="0.25">
      <c r="A27" s="96" t="s">
        <v>240</v>
      </c>
      <c r="B27" s="101" t="s">
        <v>241</v>
      </c>
      <c r="C27" s="110">
        <v>42961</v>
      </c>
      <c r="D27" s="110">
        <v>42974</v>
      </c>
      <c r="E27" s="110">
        <v>42977</v>
      </c>
      <c r="F27" s="100">
        <v>19513</v>
      </c>
      <c r="G27" s="97">
        <v>31.25</v>
      </c>
      <c r="H27" s="97">
        <v>349.31</v>
      </c>
      <c r="I27" s="98">
        <v>0</v>
      </c>
      <c r="J27" s="97">
        <v>-21.65</v>
      </c>
      <c r="K27" s="97">
        <v>-5.0599999999999996</v>
      </c>
      <c r="L27" s="98">
        <v>0</v>
      </c>
      <c r="M27" s="98">
        <v>0</v>
      </c>
      <c r="N27" s="97">
        <v>-3.15</v>
      </c>
      <c r="O27" s="98">
        <v>0</v>
      </c>
      <c r="P27" s="98">
        <v>0</v>
      </c>
      <c r="Q27" s="99">
        <v>0</v>
      </c>
      <c r="R27" s="97">
        <f>SUM($H27:Q27)</f>
        <v>319.45000000000005</v>
      </c>
    </row>
    <row r="28" spans="1:18" x14ac:dyDescent="0.25">
      <c r="A28"/>
      <c r="B28"/>
      <c r="C28" s="109"/>
      <c r="D28" s="109"/>
      <c r="E28" s="109"/>
      <c r="G28"/>
      <c r="H28"/>
      <c r="I28"/>
      <c r="J28"/>
      <c r="K28"/>
      <c r="L28"/>
      <c r="M28"/>
      <c r="N28"/>
      <c r="O28"/>
      <c r="P28"/>
      <c r="Q28"/>
    </row>
    <row r="29" spans="1:18" ht="14.25" customHeight="1" x14ac:dyDescent="0.25">
      <c r="A29" s="96" t="s">
        <v>242</v>
      </c>
      <c r="B29" s="101" t="s">
        <v>243</v>
      </c>
      <c r="C29" s="110">
        <v>42961</v>
      </c>
      <c r="D29" s="110">
        <v>42974</v>
      </c>
      <c r="E29" s="110">
        <v>42977</v>
      </c>
      <c r="F29" s="100">
        <v>19514</v>
      </c>
      <c r="G29" s="97">
        <v>85.49</v>
      </c>
      <c r="H29" s="97">
        <v>1325.6299999999999</v>
      </c>
      <c r="I29" s="97">
        <v>-121</v>
      </c>
      <c r="J29" s="97">
        <v>-82.19</v>
      </c>
      <c r="K29" s="97">
        <v>-19.22</v>
      </c>
      <c r="L29" s="98">
        <v>0</v>
      </c>
      <c r="M29" s="97">
        <v>-22.77</v>
      </c>
      <c r="N29" s="97">
        <v>-11.93</v>
      </c>
      <c r="O29" s="98">
        <v>0</v>
      </c>
      <c r="P29" s="98">
        <v>0</v>
      </c>
      <c r="Q29" s="99">
        <v>0</v>
      </c>
      <c r="R29" s="97">
        <f>SUM($H29:Q29)</f>
        <v>1068.5199999999998</v>
      </c>
    </row>
    <row r="30" spans="1:18" x14ac:dyDescent="0.25">
      <c r="A30"/>
      <c r="B30"/>
      <c r="C30" s="109"/>
      <c r="D30" s="109"/>
      <c r="E30" s="109"/>
      <c r="G30"/>
      <c r="H30"/>
      <c r="I30"/>
      <c r="J30"/>
      <c r="K30"/>
      <c r="L30"/>
      <c r="M30"/>
      <c r="N30"/>
      <c r="O30"/>
      <c r="P30"/>
      <c r="Q30"/>
    </row>
    <row r="31" spans="1:18" ht="14.25" customHeight="1" x14ac:dyDescent="0.25">
      <c r="A31" s="96" t="s">
        <v>244</v>
      </c>
      <c r="B31" s="101" t="s">
        <v>245</v>
      </c>
      <c r="C31" s="110">
        <v>42961</v>
      </c>
      <c r="D31" s="110">
        <v>42974</v>
      </c>
      <c r="E31" s="110">
        <v>42977</v>
      </c>
      <c r="F31" s="100">
        <v>19515</v>
      </c>
      <c r="G31" s="97">
        <v>21.88</v>
      </c>
      <c r="H31" s="97">
        <v>284.44</v>
      </c>
      <c r="I31" s="98">
        <v>0</v>
      </c>
      <c r="J31" s="97">
        <v>-17.63</v>
      </c>
      <c r="K31" s="97">
        <v>-4.13</v>
      </c>
      <c r="L31" s="98">
        <v>0</v>
      </c>
      <c r="M31" s="98">
        <v>0</v>
      </c>
      <c r="N31" s="97">
        <v>-2.56</v>
      </c>
      <c r="O31" s="98">
        <v>0</v>
      </c>
      <c r="P31" s="98">
        <v>0</v>
      </c>
      <c r="Q31" s="99">
        <v>0</v>
      </c>
      <c r="R31" s="97">
        <f>SUM($H31:Q31)</f>
        <v>260.12</v>
      </c>
    </row>
    <row r="32" spans="1:18" x14ac:dyDescent="0.25">
      <c r="A32"/>
      <c r="B32"/>
      <c r="C32" s="109"/>
      <c r="D32" s="109"/>
      <c r="E32" s="109"/>
      <c r="G32"/>
      <c r="H32"/>
      <c r="I32"/>
      <c r="J32"/>
      <c r="K32"/>
      <c r="L32"/>
      <c r="M32"/>
      <c r="N32"/>
      <c r="O32"/>
      <c r="P32"/>
      <c r="Q32"/>
    </row>
    <row r="33" spans="1:18" ht="14.25" customHeight="1" x14ac:dyDescent="0.25">
      <c r="A33" s="96" t="s">
        <v>270</v>
      </c>
      <c r="B33" s="101" t="s">
        <v>271</v>
      </c>
      <c r="C33" s="110">
        <v>42961</v>
      </c>
      <c r="D33" s="110">
        <v>42974</v>
      </c>
      <c r="E33" s="110">
        <v>42977</v>
      </c>
      <c r="F33" s="100">
        <v>19516</v>
      </c>
      <c r="G33" s="97">
        <v>78.050000000000011</v>
      </c>
      <c r="H33" s="97">
        <v>990.16</v>
      </c>
      <c r="I33" s="97">
        <v>-3</v>
      </c>
      <c r="J33" s="97">
        <v>-61.39</v>
      </c>
      <c r="K33" s="97">
        <v>-14.35</v>
      </c>
      <c r="L33" s="98">
        <v>0</v>
      </c>
      <c r="M33" s="98">
        <v>0</v>
      </c>
      <c r="N33" s="97">
        <v>-8.91</v>
      </c>
      <c r="O33" s="98">
        <v>0</v>
      </c>
      <c r="P33" s="98">
        <v>0</v>
      </c>
      <c r="Q33" s="99">
        <v>0</v>
      </c>
      <c r="R33" s="97">
        <f>SUM($H33:Q33)</f>
        <v>902.51</v>
      </c>
    </row>
    <row r="34" spans="1:18" x14ac:dyDescent="0.25">
      <c r="A34"/>
      <c r="B34"/>
      <c r="C34" s="109"/>
      <c r="D34" s="109"/>
      <c r="E34" s="109"/>
      <c r="G34"/>
      <c r="H34"/>
      <c r="I34"/>
      <c r="J34"/>
      <c r="K34"/>
      <c r="L34"/>
      <c r="M34"/>
      <c r="N34"/>
      <c r="O34"/>
      <c r="P34"/>
      <c r="Q34"/>
    </row>
    <row r="35" spans="1:18" ht="14.25" customHeight="1" x14ac:dyDescent="0.25">
      <c r="A35" s="96" t="s">
        <v>172</v>
      </c>
      <c r="B35" s="101" t="s">
        <v>173</v>
      </c>
      <c r="C35" s="110">
        <v>42961</v>
      </c>
      <c r="D35" s="110">
        <v>42974</v>
      </c>
      <c r="E35" s="110">
        <v>42977</v>
      </c>
      <c r="F35" s="100">
        <v>19517</v>
      </c>
      <c r="G35" s="97">
        <v>59.67</v>
      </c>
      <c r="H35" s="97">
        <v>865.22</v>
      </c>
      <c r="I35" s="97">
        <v>-38</v>
      </c>
      <c r="J35" s="97">
        <v>-53.64</v>
      </c>
      <c r="K35" s="97">
        <v>-12.54</v>
      </c>
      <c r="L35" s="98">
        <v>0</v>
      </c>
      <c r="M35" s="97">
        <v>-4.0599999999999996</v>
      </c>
      <c r="N35" s="97">
        <v>-7.79</v>
      </c>
      <c r="O35" s="98">
        <v>0</v>
      </c>
      <c r="P35" s="98">
        <v>0</v>
      </c>
      <c r="Q35" s="99">
        <v>0</v>
      </c>
      <c r="R35" s="97">
        <f>SUM($H35:Q35)</f>
        <v>749.19000000000017</v>
      </c>
    </row>
    <row r="36" spans="1:18" x14ac:dyDescent="0.25">
      <c r="A36"/>
      <c r="B36"/>
      <c r="C36" s="109"/>
      <c r="D36" s="109"/>
      <c r="E36" s="109"/>
      <c r="G36"/>
      <c r="H36"/>
      <c r="I36"/>
      <c r="J36"/>
      <c r="K36"/>
      <c r="L36"/>
      <c r="M36"/>
      <c r="N36"/>
      <c r="O36"/>
      <c r="P36"/>
      <c r="Q36"/>
    </row>
    <row r="37" spans="1:18" ht="14.25" customHeight="1" x14ac:dyDescent="0.25">
      <c r="A37" s="96" t="s">
        <v>274</v>
      </c>
      <c r="B37" s="101" t="s">
        <v>275</v>
      </c>
      <c r="C37" s="110">
        <v>42961</v>
      </c>
      <c r="D37" s="110">
        <v>42974</v>
      </c>
      <c r="E37" s="110">
        <v>42977</v>
      </c>
      <c r="F37" s="100">
        <v>19518</v>
      </c>
      <c r="G37" s="97">
        <v>46.75</v>
      </c>
      <c r="H37" s="97">
        <v>537.63</v>
      </c>
      <c r="I37" s="97">
        <v>-29</v>
      </c>
      <c r="J37" s="97">
        <v>-33.33</v>
      </c>
      <c r="K37" s="97">
        <v>-7.8</v>
      </c>
      <c r="L37" s="98">
        <v>0</v>
      </c>
      <c r="M37" s="97">
        <v>-0.25</v>
      </c>
      <c r="N37" s="97">
        <v>-4.84</v>
      </c>
      <c r="O37" s="98">
        <v>0</v>
      </c>
      <c r="P37" s="98">
        <v>0</v>
      </c>
      <c r="Q37" s="99">
        <v>0</v>
      </c>
      <c r="R37" s="97">
        <f>SUM($H37:Q37)</f>
        <v>462.41</v>
      </c>
    </row>
    <row r="38" spans="1:18" x14ac:dyDescent="0.25">
      <c r="A38"/>
      <c r="B38"/>
      <c r="C38" s="109"/>
      <c r="D38" s="109"/>
      <c r="E38" s="109"/>
      <c r="G38"/>
      <c r="H38"/>
      <c r="I38"/>
      <c r="J38"/>
      <c r="K38"/>
      <c r="L38"/>
      <c r="M38"/>
      <c r="N38"/>
      <c r="O38"/>
      <c r="P38"/>
      <c r="Q38"/>
    </row>
    <row r="39" spans="1:18" ht="14.25" customHeight="1" x14ac:dyDescent="0.25">
      <c r="A39" s="96" t="s">
        <v>174</v>
      </c>
      <c r="B39" s="101" t="s">
        <v>175</v>
      </c>
      <c r="C39" s="110">
        <v>42961</v>
      </c>
      <c r="D39" s="110">
        <v>42974</v>
      </c>
      <c r="E39" s="110">
        <v>42977</v>
      </c>
      <c r="F39" s="100">
        <v>19519</v>
      </c>
      <c r="G39" s="97">
        <v>34.700000000000003</v>
      </c>
      <c r="H39" s="97">
        <v>347</v>
      </c>
      <c r="I39" s="97">
        <v>-10</v>
      </c>
      <c r="J39" s="97">
        <v>-21.51</v>
      </c>
      <c r="K39" s="97">
        <v>-5.03</v>
      </c>
      <c r="L39" s="98">
        <v>0</v>
      </c>
      <c r="M39" s="98">
        <v>0</v>
      </c>
      <c r="N39" s="97">
        <v>-3.13</v>
      </c>
      <c r="O39" s="98">
        <v>0</v>
      </c>
      <c r="P39" s="98">
        <v>0</v>
      </c>
      <c r="Q39" s="99">
        <v>0</v>
      </c>
      <c r="R39" s="97">
        <f>SUM($H39:Q39)</f>
        <v>307.33000000000004</v>
      </c>
    </row>
    <row r="40" spans="1:18" x14ac:dyDescent="0.25">
      <c r="A40"/>
      <c r="B40"/>
      <c r="C40" s="109"/>
      <c r="D40" s="109"/>
      <c r="E40" s="109"/>
      <c r="G40"/>
      <c r="H40"/>
      <c r="I40"/>
      <c r="J40"/>
      <c r="K40"/>
      <c r="L40"/>
      <c r="M40"/>
      <c r="N40"/>
      <c r="O40"/>
      <c r="P40"/>
      <c r="Q40"/>
    </row>
    <row r="41" spans="1:18" ht="14.25" customHeight="1" x14ac:dyDescent="0.25">
      <c r="A41" s="96" t="s">
        <v>260</v>
      </c>
      <c r="B41" s="101" t="s">
        <v>261</v>
      </c>
      <c r="C41" s="110">
        <v>42961</v>
      </c>
      <c r="D41" s="110">
        <v>42974</v>
      </c>
      <c r="E41" s="110">
        <v>42977</v>
      </c>
      <c r="F41" s="100">
        <v>19520</v>
      </c>
      <c r="G41" s="97">
        <v>27.83</v>
      </c>
      <c r="H41" s="97">
        <v>306.13000000000005</v>
      </c>
      <c r="I41" s="97">
        <v>-22</v>
      </c>
      <c r="J41" s="97">
        <v>-18.98</v>
      </c>
      <c r="K41" s="97">
        <v>-4.4400000000000004</v>
      </c>
      <c r="L41" s="98">
        <v>0</v>
      </c>
      <c r="M41" s="98">
        <v>0</v>
      </c>
      <c r="N41" s="97">
        <v>-2.76</v>
      </c>
      <c r="O41" s="98">
        <v>0</v>
      </c>
      <c r="P41" s="98">
        <v>0</v>
      </c>
      <c r="Q41" s="99">
        <v>0</v>
      </c>
      <c r="R41" s="97">
        <f>SUM($H41:Q41)</f>
        <v>257.95000000000005</v>
      </c>
    </row>
    <row r="42" spans="1:18" x14ac:dyDescent="0.25">
      <c r="A42"/>
      <c r="B42"/>
      <c r="C42" s="109"/>
      <c r="D42" s="109"/>
      <c r="E42" s="109"/>
      <c r="G42"/>
      <c r="H42"/>
      <c r="I42"/>
      <c r="J42"/>
      <c r="K42"/>
      <c r="L42"/>
      <c r="M42"/>
      <c r="N42"/>
      <c r="O42"/>
      <c r="P42"/>
      <c r="Q42"/>
    </row>
    <row r="43" spans="1:18" ht="14.25" customHeight="1" x14ac:dyDescent="0.25">
      <c r="A43" s="96" t="s">
        <v>176</v>
      </c>
      <c r="B43" s="101" t="s">
        <v>177</v>
      </c>
      <c r="C43" s="110">
        <v>42961</v>
      </c>
      <c r="D43" s="110">
        <v>42974</v>
      </c>
      <c r="E43" s="110">
        <v>42977</v>
      </c>
      <c r="F43" s="100">
        <v>19521</v>
      </c>
      <c r="G43" s="97">
        <v>106.73</v>
      </c>
      <c r="H43" s="97">
        <v>2041.62</v>
      </c>
      <c r="I43" s="97">
        <v>-150</v>
      </c>
      <c r="J43" s="97">
        <v>-126.59</v>
      </c>
      <c r="K43" s="97">
        <v>-29.61</v>
      </c>
      <c r="L43" s="98">
        <v>0</v>
      </c>
      <c r="M43" s="97">
        <v>-76.23</v>
      </c>
      <c r="N43" s="97">
        <v>-18.38</v>
      </c>
      <c r="O43" s="98">
        <v>0</v>
      </c>
      <c r="P43" s="97">
        <v>-100</v>
      </c>
      <c r="Q43" s="99">
        <v>0</v>
      </c>
      <c r="R43" s="97">
        <f>SUM($H43:Q43)</f>
        <v>1540.81</v>
      </c>
    </row>
    <row r="44" spans="1:18" x14ac:dyDescent="0.25">
      <c r="A44"/>
      <c r="B44"/>
      <c r="C44" s="109"/>
      <c r="D44" s="109"/>
      <c r="E44" s="109"/>
      <c r="G44"/>
      <c r="H44"/>
      <c r="I44"/>
      <c r="J44"/>
      <c r="K44"/>
      <c r="L44"/>
      <c r="M44"/>
      <c r="N44"/>
      <c r="O44"/>
      <c r="P44"/>
      <c r="Q44"/>
    </row>
    <row r="45" spans="1:18" ht="14.25" customHeight="1" x14ac:dyDescent="0.25">
      <c r="A45" s="96" t="s">
        <v>246</v>
      </c>
      <c r="B45" s="101" t="s">
        <v>247</v>
      </c>
      <c r="C45" s="110">
        <v>42961</v>
      </c>
      <c r="D45" s="110">
        <v>42974</v>
      </c>
      <c r="E45" s="110">
        <v>42977</v>
      </c>
      <c r="F45" s="100">
        <v>19522</v>
      </c>
      <c r="G45" s="97">
        <v>37.83</v>
      </c>
      <c r="H45" s="97">
        <v>417.07</v>
      </c>
      <c r="I45" s="98">
        <v>0</v>
      </c>
      <c r="J45" s="97">
        <v>-25.86</v>
      </c>
      <c r="K45" s="97">
        <v>-6.05</v>
      </c>
      <c r="L45" s="98">
        <v>0</v>
      </c>
      <c r="M45" s="98">
        <v>0</v>
      </c>
      <c r="N45" s="97">
        <v>-3.75</v>
      </c>
      <c r="O45" s="98">
        <v>0</v>
      </c>
      <c r="P45" s="98">
        <v>0</v>
      </c>
      <c r="Q45" s="99">
        <v>0</v>
      </c>
      <c r="R45" s="97">
        <f>SUM($H45:Q45)</f>
        <v>381.40999999999997</v>
      </c>
    </row>
    <row r="46" spans="1:18" x14ac:dyDescent="0.25">
      <c r="A46"/>
      <c r="B46"/>
      <c r="C46" s="109"/>
      <c r="D46" s="109"/>
      <c r="E46" s="109"/>
      <c r="G46"/>
      <c r="H46"/>
      <c r="I46"/>
      <c r="J46"/>
      <c r="K46"/>
      <c r="L46"/>
      <c r="M46"/>
      <c r="N46"/>
      <c r="O46"/>
      <c r="P46"/>
      <c r="Q46"/>
    </row>
    <row r="47" spans="1:18" ht="14.25" customHeight="1" x14ac:dyDescent="0.25">
      <c r="A47" s="96" t="s">
        <v>262</v>
      </c>
      <c r="B47" s="101" t="s">
        <v>263</v>
      </c>
      <c r="C47" s="110">
        <v>42961</v>
      </c>
      <c r="D47" s="110">
        <v>42974</v>
      </c>
      <c r="E47" s="110">
        <v>42977</v>
      </c>
      <c r="F47" s="100">
        <v>19523</v>
      </c>
      <c r="G47" s="97">
        <v>80.259999999999991</v>
      </c>
      <c r="H47" s="97">
        <v>886.49</v>
      </c>
      <c r="I47" s="97">
        <v>-33</v>
      </c>
      <c r="J47" s="97">
        <v>-54.97</v>
      </c>
      <c r="K47" s="97">
        <v>-12.85</v>
      </c>
      <c r="L47" s="98">
        <v>0</v>
      </c>
      <c r="M47" s="98">
        <v>0</v>
      </c>
      <c r="N47" s="97">
        <v>-7.98</v>
      </c>
      <c r="O47" s="98">
        <v>0</v>
      </c>
      <c r="P47" s="98">
        <v>0</v>
      </c>
      <c r="Q47" s="99">
        <v>0</v>
      </c>
      <c r="R47" s="97">
        <f>SUM($H47:Q47)</f>
        <v>777.68999999999994</v>
      </c>
    </row>
    <row r="48" spans="1:18" x14ac:dyDescent="0.25">
      <c r="A48"/>
      <c r="B48"/>
      <c r="C48" s="109"/>
      <c r="D48" s="109"/>
      <c r="E48" s="109"/>
      <c r="G48"/>
      <c r="H48"/>
      <c r="I48"/>
      <c r="J48"/>
      <c r="K48"/>
      <c r="L48"/>
      <c r="M48"/>
      <c r="N48"/>
      <c r="O48"/>
      <c r="P48"/>
      <c r="Q48"/>
    </row>
    <row r="49" spans="1:18" ht="14.25" customHeight="1" x14ac:dyDescent="0.25">
      <c r="A49" s="96" t="s">
        <v>178</v>
      </c>
      <c r="B49" s="101" t="s">
        <v>179</v>
      </c>
      <c r="C49" s="110">
        <v>42961</v>
      </c>
      <c r="D49" s="110">
        <v>42974</v>
      </c>
      <c r="E49" s="110">
        <v>42977</v>
      </c>
      <c r="F49" s="100">
        <v>19524</v>
      </c>
      <c r="G49" s="97">
        <v>27.51</v>
      </c>
      <c r="H49" s="97">
        <v>343.88</v>
      </c>
      <c r="I49" s="97">
        <v>-26</v>
      </c>
      <c r="J49" s="97">
        <v>-21.32</v>
      </c>
      <c r="K49" s="97">
        <v>-4.99</v>
      </c>
      <c r="L49" s="98">
        <v>0</v>
      </c>
      <c r="M49" s="98">
        <v>0</v>
      </c>
      <c r="N49" s="97">
        <v>-3.1</v>
      </c>
      <c r="O49" s="98">
        <v>0</v>
      </c>
      <c r="P49" s="98">
        <v>0</v>
      </c>
      <c r="Q49" s="99">
        <v>0</v>
      </c>
      <c r="R49" s="97">
        <f>SUM($H49:Q49)</f>
        <v>288.46999999999997</v>
      </c>
    </row>
    <row r="50" spans="1:18" x14ac:dyDescent="0.25">
      <c r="A50"/>
      <c r="B50"/>
      <c r="C50" s="109"/>
      <c r="D50" s="109"/>
      <c r="E50" s="109"/>
      <c r="G50"/>
      <c r="H50"/>
      <c r="I50"/>
      <c r="J50"/>
      <c r="K50"/>
      <c r="L50"/>
      <c r="M50"/>
      <c r="N50"/>
      <c r="O50"/>
      <c r="P50"/>
      <c r="Q50"/>
    </row>
    <row r="51" spans="1:18" ht="14.25" customHeight="1" x14ac:dyDescent="0.25">
      <c r="A51" s="96" t="s">
        <v>180</v>
      </c>
      <c r="B51" s="101" t="s">
        <v>181</v>
      </c>
      <c r="C51" s="110">
        <v>42961</v>
      </c>
      <c r="D51" s="110">
        <v>42974</v>
      </c>
      <c r="E51" s="110">
        <v>42977</v>
      </c>
      <c r="F51" s="100">
        <v>19525</v>
      </c>
      <c r="G51" s="97">
        <v>80</v>
      </c>
      <c r="H51" s="97">
        <v>2457.7399999999998</v>
      </c>
      <c r="I51" s="97">
        <v>-355</v>
      </c>
      <c r="J51" s="97">
        <v>-152.38</v>
      </c>
      <c r="K51" s="97">
        <v>-35.64</v>
      </c>
      <c r="L51" s="98">
        <v>0</v>
      </c>
      <c r="M51" s="97">
        <v>-176.06</v>
      </c>
      <c r="N51" s="97">
        <v>-22.12</v>
      </c>
      <c r="O51" s="97">
        <v>-50</v>
      </c>
      <c r="P51" s="98">
        <v>0</v>
      </c>
      <c r="Q51" s="99">
        <v>0</v>
      </c>
      <c r="R51" s="97">
        <f>SUM($H51:Q51)</f>
        <v>1666.5399999999997</v>
      </c>
    </row>
    <row r="52" spans="1:18" x14ac:dyDescent="0.25">
      <c r="A52"/>
      <c r="B52"/>
      <c r="C52" s="109"/>
      <c r="D52" s="109"/>
      <c r="E52" s="109"/>
      <c r="G52"/>
      <c r="H52"/>
      <c r="I52"/>
      <c r="J52"/>
      <c r="K52"/>
      <c r="L52"/>
      <c r="M52"/>
      <c r="N52"/>
      <c r="O52"/>
      <c r="P52"/>
      <c r="Q52"/>
    </row>
    <row r="53" spans="1:18" ht="14.25" customHeight="1" x14ac:dyDescent="0.25">
      <c r="A53" s="96" t="s">
        <v>183</v>
      </c>
      <c r="B53" s="101" t="s">
        <v>184</v>
      </c>
      <c r="C53" s="110">
        <v>42961</v>
      </c>
      <c r="D53" s="110">
        <v>42974</v>
      </c>
      <c r="E53" s="110">
        <v>42977</v>
      </c>
      <c r="F53" s="100">
        <v>19526</v>
      </c>
      <c r="G53" s="97">
        <v>11.81</v>
      </c>
      <c r="H53" s="97">
        <v>153.53</v>
      </c>
      <c r="I53" s="98">
        <v>0</v>
      </c>
      <c r="J53" s="97">
        <v>-9.51</v>
      </c>
      <c r="K53" s="97">
        <v>-2.2200000000000002</v>
      </c>
      <c r="L53" s="98">
        <v>0</v>
      </c>
      <c r="M53" s="98">
        <v>0</v>
      </c>
      <c r="N53" s="97">
        <v>-1.38</v>
      </c>
      <c r="O53" s="98">
        <v>0</v>
      </c>
      <c r="P53" s="98">
        <v>0</v>
      </c>
      <c r="Q53" s="99">
        <v>0</v>
      </c>
      <c r="R53" s="97">
        <f>SUM($H53:Q53)</f>
        <v>140.42000000000002</v>
      </c>
    </row>
    <row r="54" spans="1:18" x14ac:dyDescent="0.25">
      <c r="A54"/>
      <c r="B54"/>
      <c r="C54" s="109"/>
      <c r="D54" s="109"/>
      <c r="E54" s="109"/>
      <c r="G54"/>
      <c r="H54"/>
      <c r="I54"/>
      <c r="J54"/>
      <c r="K54"/>
      <c r="L54"/>
      <c r="M54"/>
      <c r="N54"/>
      <c r="O54"/>
      <c r="P54"/>
      <c r="Q54"/>
    </row>
    <row r="55" spans="1:18" ht="14.25" customHeight="1" x14ac:dyDescent="0.25">
      <c r="A55" s="96" t="s">
        <v>185</v>
      </c>
      <c r="B55" s="101" t="s">
        <v>186</v>
      </c>
      <c r="C55" s="110">
        <v>42961</v>
      </c>
      <c r="D55" s="110">
        <v>42974</v>
      </c>
      <c r="E55" s="110">
        <v>42977</v>
      </c>
      <c r="F55" s="100">
        <v>19527</v>
      </c>
      <c r="G55" s="97">
        <v>90.6</v>
      </c>
      <c r="H55" s="97">
        <v>1150.8</v>
      </c>
      <c r="I55" s="97">
        <v>-28</v>
      </c>
      <c r="J55" s="97">
        <v>-71.349999999999994</v>
      </c>
      <c r="K55" s="97">
        <v>-16.690000000000001</v>
      </c>
      <c r="L55" s="98">
        <v>0</v>
      </c>
      <c r="M55" s="97">
        <v>-0.7</v>
      </c>
      <c r="N55" s="97">
        <v>-10.35</v>
      </c>
      <c r="O55" s="98">
        <v>0</v>
      </c>
      <c r="P55" s="98">
        <v>0</v>
      </c>
      <c r="Q55" s="99">
        <v>0</v>
      </c>
      <c r="R55" s="97">
        <f>SUM($H55:Q55)</f>
        <v>1023.7099999999999</v>
      </c>
    </row>
    <row r="56" spans="1:18" x14ac:dyDescent="0.25">
      <c r="A56"/>
      <c r="B56"/>
      <c r="C56" s="109"/>
      <c r="D56" s="109"/>
      <c r="E56" s="109"/>
      <c r="G56"/>
      <c r="H56"/>
      <c r="I56"/>
      <c r="J56"/>
      <c r="K56"/>
      <c r="L56"/>
      <c r="M56"/>
      <c r="N56"/>
      <c r="O56"/>
      <c r="P56"/>
      <c r="Q56"/>
    </row>
    <row r="57" spans="1:18" ht="14.25" customHeight="1" x14ac:dyDescent="0.25">
      <c r="A57" s="96" t="s">
        <v>187</v>
      </c>
      <c r="B57" s="101" t="s">
        <v>188</v>
      </c>
      <c r="C57" s="110">
        <v>42961</v>
      </c>
      <c r="D57" s="110">
        <v>42974</v>
      </c>
      <c r="E57" s="110">
        <v>42977</v>
      </c>
      <c r="F57" s="100">
        <v>19528</v>
      </c>
      <c r="G57" s="97">
        <v>126.33</v>
      </c>
      <c r="H57" s="97">
        <v>3737.38</v>
      </c>
      <c r="I57" s="97">
        <v>-446</v>
      </c>
      <c r="J57" s="97">
        <v>-231.71</v>
      </c>
      <c r="K57" s="97">
        <v>-54.19</v>
      </c>
      <c r="L57" s="98">
        <v>0</v>
      </c>
      <c r="M57" s="97">
        <v>-131.41</v>
      </c>
      <c r="N57" s="97">
        <v>-33.630000000000003</v>
      </c>
      <c r="O57" s="98">
        <v>0</v>
      </c>
      <c r="P57" s="98">
        <v>0</v>
      </c>
      <c r="Q57" s="99">
        <v>0</v>
      </c>
      <c r="R57" s="97">
        <f>SUM($H57:Q57)</f>
        <v>2840.44</v>
      </c>
    </row>
    <row r="58" spans="1:18" x14ac:dyDescent="0.25">
      <c r="A58"/>
      <c r="B58"/>
      <c r="C58" s="109"/>
      <c r="D58" s="109"/>
      <c r="E58" s="109"/>
      <c r="G58"/>
      <c r="H58"/>
      <c r="I58"/>
      <c r="J58"/>
      <c r="K58"/>
      <c r="L58"/>
      <c r="M58"/>
      <c r="N58"/>
      <c r="O58"/>
      <c r="P58"/>
      <c r="Q58"/>
    </row>
    <row r="59" spans="1:18" ht="14.25" customHeight="1" x14ac:dyDescent="0.25">
      <c r="A59" s="96" t="s">
        <v>189</v>
      </c>
      <c r="B59" s="101" t="s">
        <v>190</v>
      </c>
      <c r="C59" s="110">
        <v>42961</v>
      </c>
      <c r="D59" s="110">
        <v>42974</v>
      </c>
      <c r="E59" s="110">
        <v>42977</v>
      </c>
      <c r="F59" s="100">
        <v>19529</v>
      </c>
      <c r="G59" s="97">
        <v>116.82</v>
      </c>
      <c r="H59" s="97">
        <v>2298.91</v>
      </c>
      <c r="I59" s="97">
        <v>-236</v>
      </c>
      <c r="J59" s="97">
        <v>-142.53</v>
      </c>
      <c r="K59" s="97">
        <v>-33.33</v>
      </c>
      <c r="L59" s="98">
        <v>0</v>
      </c>
      <c r="M59" s="97">
        <v>-50.53</v>
      </c>
      <c r="N59" s="97">
        <v>-20.69</v>
      </c>
      <c r="O59" s="98">
        <v>0</v>
      </c>
      <c r="P59" s="97">
        <v>-50</v>
      </c>
      <c r="Q59" s="99">
        <v>0</v>
      </c>
      <c r="R59" s="97">
        <f>SUM($H59:Q59)</f>
        <v>1765.83</v>
      </c>
    </row>
    <row r="60" spans="1:18" x14ac:dyDescent="0.25">
      <c r="A60"/>
      <c r="B60"/>
      <c r="C60" s="109"/>
      <c r="D60" s="109"/>
      <c r="E60" s="109"/>
      <c r="G60"/>
      <c r="H60"/>
      <c r="I60"/>
      <c r="J60"/>
      <c r="K60"/>
      <c r="L60"/>
      <c r="M60"/>
      <c r="N60"/>
      <c r="O60"/>
      <c r="P60"/>
      <c r="Q60"/>
    </row>
    <row r="61" spans="1:18" ht="14.25" customHeight="1" x14ac:dyDescent="0.25">
      <c r="A61" s="96" t="s">
        <v>264</v>
      </c>
      <c r="B61" s="101" t="s">
        <v>265</v>
      </c>
      <c r="C61" s="110">
        <v>42961</v>
      </c>
      <c r="D61" s="110">
        <v>42974</v>
      </c>
      <c r="E61" s="110">
        <v>42977</v>
      </c>
      <c r="F61" s="100">
        <v>19530</v>
      </c>
      <c r="G61" s="97">
        <v>45.27</v>
      </c>
      <c r="H61" s="97">
        <v>497.97</v>
      </c>
      <c r="I61" s="97">
        <v>-25</v>
      </c>
      <c r="J61" s="97">
        <v>-30.87</v>
      </c>
      <c r="K61" s="97">
        <v>-7.22</v>
      </c>
      <c r="L61" s="98">
        <v>0</v>
      </c>
      <c r="M61" s="98">
        <v>0</v>
      </c>
      <c r="N61" s="97">
        <v>-4.4800000000000004</v>
      </c>
      <c r="O61" s="98">
        <v>0</v>
      </c>
      <c r="P61" s="98">
        <v>0</v>
      </c>
      <c r="Q61" s="99">
        <v>0</v>
      </c>
      <c r="R61" s="97">
        <f>SUM($H61:Q61)</f>
        <v>430.4</v>
      </c>
    </row>
    <row r="62" spans="1:18" x14ac:dyDescent="0.25">
      <c r="A62"/>
      <c r="B62"/>
      <c r="C62" s="109"/>
      <c r="D62" s="109"/>
      <c r="E62" s="109"/>
      <c r="G62"/>
      <c r="H62"/>
      <c r="I62"/>
      <c r="J62"/>
      <c r="K62"/>
      <c r="L62"/>
      <c r="M62"/>
      <c r="N62"/>
      <c r="O62"/>
      <c r="P62"/>
      <c r="Q62"/>
    </row>
    <row r="63" spans="1:18" ht="14.25" customHeight="1" x14ac:dyDescent="0.25">
      <c r="A63" s="96" t="s">
        <v>258</v>
      </c>
      <c r="B63" s="101" t="s">
        <v>259</v>
      </c>
      <c r="C63" s="110">
        <v>42961</v>
      </c>
      <c r="D63" s="110">
        <v>42974</v>
      </c>
      <c r="E63" s="110">
        <v>42977</v>
      </c>
      <c r="F63" s="100">
        <v>19531</v>
      </c>
      <c r="G63" s="97">
        <v>6.06</v>
      </c>
      <c r="H63" s="97">
        <v>66.66</v>
      </c>
      <c r="I63" s="98">
        <v>0</v>
      </c>
      <c r="J63" s="97">
        <v>-4.13</v>
      </c>
      <c r="K63" s="97">
        <v>-0.97</v>
      </c>
      <c r="L63" s="98">
        <v>0</v>
      </c>
      <c r="M63" s="98">
        <v>0</v>
      </c>
      <c r="N63" s="97">
        <v>-0.6</v>
      </c>
      <c r="O63" s="98">
        <v>0</v>
      </c>
      <c r="P63" s="98">
        <v>0</v>
      </c>
      <c r="Q63" s="99">
        <v>0</v>
      </c>
      <c r="R63" s="97">
        <f>SUM($H63:Q63)</f>
        <v>60.959999999999994</v>
      </c>
    </row>
    <row r="64" spans="1:18" x14ac:dyDescent="0.25">
      <c r="A64"/>
      <c r="B64"/>
      <c r="C64" s="109"/>
      <c r="D64" s="109"/>
      <c r="E64" s="109"/>
      <c r="G64"/>
      <c r="H64"/>
      <c r="I64"/>
      <c r="J64"/>
      <c r="K64"/>
      <c r="L64"/>
      <c r="M64"/>
      <c r="N64"/>
      <c r="O64"/>
      <c r="P64"/>
      <c r="Q64"/>
    </row>
    <row r="65" spans="1:18" ht="14.25" customHeight="1" x14ac:dyDescent="0.25">
      <c r="A65" s="96" t="s">
        <v>191</v>
      </c>
      <c r="B65" s="101" t="s">
        <v>192</v>
      </c>
      <c r="C65" s="110">
        <v>42961</v>
      </c>
      <c r="D65" s="110">
        <v>42974</v>
      </c>
      <c r="E65" s="110">
        <v>42977</v>
      </c>
      <c r="F65" s="100">
        <v>19532</v>
      </c>
      <c r="G65" s="97">
        <v>8.33</v>
      </c>
      <c r="H65" s="97">
        <v>110.44</v>
      </c>
      <c r="I65" s="98">
        <v>0</v>
      </c>
      <c r="J65" s="97">
        <v>-6.84</v>
      </c>
      <c r="K65" s="97">
        <v>-1.6</v>
      </c>
      <c r="L65" s="98">
        <v>0</v>
      </c>
      <c r="M65" s="98">
        <v>0</v>
      </c>
      <c r="N65" s="97">
        <v>-0.99</v>
      </c>
      <c r="O65" s="98">
        <v>0</v>
      </c>
      <c r="P65" s="98">
        <v>0</v>
      </c>
      <c r="Q65" s="99">
        <v>0</v>
      </c>
      <c r="R65" s="97">
        <f>SUM($H65:Q65)</f>
        <v>101.01</v>
      </c>
    </row>
    <row r="66" spans="1:18" x14ac:dyDescent="0.25">
      <c r="A66"/>
      <c r="B66"/>
      <c r="C66" s="109"/>
      <c r="D66" s="109"/>
      <c r="E66" s="109"/>
      <c r="G66"/>
      <c r="H66"/>
      <c r="I66"/>
      <c r="J66"/>
      <c r="K66"/>
      <c r="L66"/>
      <c r="M66"/>
      <c r="N66"/>
      <c r="O66"/>
      <c r="P66"/>
      <c r="Q66"/>
    </row>
    <row r="67" spans="1:18" ht="14.25" customHeight="1" x14ac:dyDescent="0.25">
      <c r="A67" s="96" t="s">
        <v>193</v>
      </c>
      <c r="B67" s="101" t="s">
        <v>194</v>
      </c>
      <c r="C67" s="110">
        <v>42961</v>
      </c>
      <c r="D67" s="110">
        <v>42974</v>
      </c>
      <c r="E67" s="110">
        <v>42977</v>
      </c>
      <c r="F67" s="100">
        <v>19533</v>
      </c>
      <c r="G67" s="97">
        <v>80.72</v>
      </c>
      <c r="H67" s="97">
        <v>964.21</v>
      </c>
      <c r="I67" s="97">
        <v>-90</v>
      </c>
      <c r="J67" s="97">
        <v>-59.78</v>
      </c>
      <c r="K67" s="97">
        <v>-13.98</v>
      </c>
      <c r="L67" s="98">
        <v>0</v>
      </c>
      <c r="M67" s="97">
        <v>-11.27</v>
      </c>
      <c r="N67" s="97">
        <v>-8.68</v>
      </c>
      <c r="O67" s="98">
        <v>0</v>
      </c>
      <c r="P67" s="98">
        <v>0</v>
      </c>
      <c r="Q67" s="99">
        <v>0</v>
      </c>
      <c r="R67" s="97">
        <f>SUM($H67:Q67)</f>
        <v>780.50000000000011</v>
      </c>
    </row>
    <row r="68" spans="1:18" x14ac:dyDescent="0.25">
      <c r="A68"/>
      <c r="B68"/>
      <c r="C68" s="109"/>
      <c r="D68" s="109"/>
      <c r="E68" s="109"/>
      <c r="G68"/>
      <c r="H68"/>
      <c r="I68"/>
      <c r="J68"/>
      <c r="K68"/>
      <c r="L68"/>
      <c r="M68"/>
      <c r="N68"/>
      <c r="O68"/>
      <c r="P68"/>
      <c r="Q68"/>
    </row>
    <row r="69" spans="1:18" ht="14.25" customHeight="1" x14ac:dyDescent="0.25">
      <c r="A69" s="96" t="s">
        <v>195</v>
      </c>
      <c r="B69" s="101" t="s">
        <v>196</v>
      </c>
      <c r="C69" s="110">
        <v>42961</v>
      </c>
      <c r="D69" s="110">
        <v>42974</v>
      </c>
      <c r="E69" s="110">
        <v>42977</v>
      </c>
      <c r="F69" s="100">
        <v>19534</v>
      </c>
      <c r="G69" s="97">
        <v>48.37</v>
      </c>
      <c r="H69" s="97">
        <v>532.07000000000005</v>
      </c>
      <c r="I69" s="98">
        <v>0</v>
      </c>
      <c r="J69" s="97">
        <v>-32.979999999999997</v>
      </c>
      <c r="K69" s="97">
        <v>-7.72</v>
      </c>
      <c r="L69" s="98">
        <v>0</v>
      </c>
      <c r="M69" s="98">
        <v>0</v>
      </c>
      <c r="N69" s="97">
        <v>-4.79</v>
      </c>
      <c r="O69" s="98">
        <v>0</v>
      </c>
      <c r="P69" s="98">
        <v>0</v>
      </c>
      <c r="Q69" s="99">
        <v>0</v>
      </c>
      <c r="R69" s="97">
        <f>SUM($H69:Q69)</f>
        <v>486.58</v>
      </c>
    </row>
    <row r="70" spans="1:18" x14ac:dyDescent="0.25">
      <c r="A70"/>
      <c r="B70"/>
      <c r="C70" s="109"/>
      <c r="D70" s="109"/>
      <c r="E70" s="109"/>
      <c r="G70"/>
      <c r="H70"/>
      <c r="I70"/>
      <c r="J70"/>
      <c r="K70"/>
      <c r="L70"/>
      <c r="M70"/>
      <c r="N70"/>
      <c r="O70"/>
      <c r="P70"/>
      <c r="Q70"/>
    </row>
    <row r="71" spans="1:18" ht="14.25" customHeight="1" x14ac:dyDescent="0.25">
      <c r="A71" s="96" t="s">
        <v>197</v>
      </c>
      <c r="B71" s="101" t="s">
        <v>198</v>
      </c>
      <c r="C71" s="110">
        <v>42961</v>
      </c>
      <c r="D71" s="110">
        <v>42974</v>
      </c>
      <c r="E71" s="110">
        <v>42977</v>
      </c>
      <c r="F71" s="100">
        <v>19535</v>
      </c>
      <c r="G71" s="97">
        <v>79.81</v>
      </c>
      <c r="H71" s="97">
        <v>1494.81</v>
      </c>
      <c r="I71" s="97">
        <v>-146</v>
      </c>
      <c r="J71" s="97">
        <v>-92.68</v>
      </c>
      <c r="K71" s="97">
        <v>-21.68</v>
      </c>
      <c r="L71" s="98">
        <v>0</v>
      </c>
      <c r="M71" s="97">
        <v>-33.94</v>
      </c>
      <c r="N71" s="97">
        <v>-13.45</v>
      </c>
      <c r="O71" s="98">
        <v>0</v>
      </c>
      <c r="P71" s="98">
        <v>0</v>
      </c>
      <c r="Q71" s="99">
        <v>0</v>
      </c>
      <c r="R71" s="97">
        <f>SUM($H71:Q71)</f>
        <v>1187.0599999999997</v>
      </c>
    </row>
    <row r="72" spans="1:18" x14ac:dyDescent="0.25">
      <c r="A72"/>
      <c r="B72"/>
      <c r="C72" s="109"/>
      <c r="D72" s="109"/>
      <c r="E72" s="109"/>
      <c r="G72"/>
      <c r="H72"/>
      <c r="I72"/>
      <c r="J72"/>
      <c r="K72"/>
      <c r="L72"/>
      <c r="M72"/>
      <c r="N72"/>
      <c r="O72"/>
      <c r="P72"/>
      <c r="Q72"/>
    </row>
    <row r="73" spans="1:18" ht="14.25" customHeight="1" x14ac:dyDescent="0.25">
      <c r="A73" s="96" t="s">
        <v>272</v>
      </c>
      <c r="B73" s="101" t="s">
        <v>273</v>
      </c>
      <c r="C73" s="110">
        <v>42961</v>
      </c>
      <c r="D73" s="110">
        <v>42974</v>
      </c>
      <c r="E73" s="110">
        <v>42977</v>
      </c>
      <c r="F73" s="100">
        <v>19536</v>
      </c>
      <c r="G73" s="97">
        <v>78.22</v>
      </c>
      <c r="H73" s="97">
        <v>915.92</v>
      </c>
      <c r="I73" s="97">
        <v>-36</v>
      </c>
      <c r="J73" s="97">
        <v>-56.79</v>
      </c>
      <c r="K73" s="97">
        <v>-13.28</v>
      </c>
      <c r="L73" s="98">
        <v>0</v>
      </c>
      <c r="M73" s="98">
        <v>0</v>
      </c>
      <c r="N73" s="97">
        <v>-8.25</v>
      </c>
      <c r="O73" s="98">
        <v>0</v>
      </c>
      <c r="P73" s="98">
        <v>0</v>
      </c>
      <c r="Q73" s="99">
        <v>0</v>
      </c>
      <c r="R73" s="97">
        <f>SUM($H73:Q73)</f>
        <v>801.6</v>
      </c>
    </row>
    <row r="74" spans="1:18" x14ac:dyDescent="0.25">
      <c r="A74"/>
      <c r="B74"/>
      <c r="C74" s="109"/>
      <c r="D74" s="109"/>
      <c r="E74" s="109"/>
      <c r="G74"/>
      <c r="H74"/>
      <c r="I74"/>
      <c r="J74"/>
      <c r="K74"/>
      <c r="L74"/>
      <c r="M74"/>
      <c r="N74"/>
      <c r="O74"/>
      <c r="P74"/>
      <c r="Q74"/>
    </row>
    <row r="75" spans="1:18" ht="14.25" customHeight="1" x14ac:dyDescent="0.25">
      <c r="A75" s="96" t="s">
        <v>200</v>
      </c>
      <c r="B75" s="101" t="s">
        <v>201</v>
      </c>
      <c r="C75" s="110">
        <v>42961</v>
      </c>
      <c r="D75" s="110">
        <v>42974</v>
      </c>
      <c r="E75" s="110">
        <v>42977</v>
      </c>
      <c r="F75" s="100">
        <v>19537</v>
      </c>
      <c r="G75" s="97">
        <v>55.91</v>
      </c>
      <c r="H75" s="97">
        <v>672.90000000000009</v>
      </c>
      <c r="I75" s="97">
        <v>-46</v>
      </c>
      <c r="J75" s="97">
        <v>-41.72</v>
      </c>
      <c r="K75" s="97">
        <v>-9.76</v>
      </c>
      <c r="L75" s="98">
        <v>0</v>
      </c>
      <c r="M75" s="97">
        <v>-3.22</v>
      </c>
      <c r="N75" s="97">
        <v>-6.05</v>
      </c>
      <c r="O75" s="98">
        <v>0</v>
      </c>
      <c r="P75" s="98">
        <v>0</v>
      </c>
      <c r="Q75" s="99">
        <v>0</v>
      </c>
      <c r="R75" s="97">
        <f>SUM($H75:Q75)</f>
        <v>566.15000000000009</v>
      </c>
    </row>
    <row r="76" spans="1:18" x14ac:dyDescent="0.25">
      <c r="A76"/>
      <c r="B76"/>
      <c r="C76" s="109"/>
      <c r="D76" s="109"/>
      <c r="E76" s="109"/>
      <c r="G76"/>
      <c r="H76"/>
      <c r="I76"/>
      <c r="J76"/>
      <c r="K76"/>
      <c r="L76"/>
      <c r="M76"/>
      <c r="N76"/>
      <c r="O76"/>
      <c r="P76"/>
      <c r="Q76"/>
    </row>
    <row r="77" spans="1:18" ht="14.25" customHeight="1" x14ac:dyDescent="0.25">
      <c r="A77" s="96" t="s">
        <v>202</v>
      </c>
      <c r="B77" s="101" t="s">
        <v>203</v>
      </c>
      <c r="C77" s="110">
        <v>42961</v>
      </c>
      <c r="D77" s="110">
        <v>42974</v>
      </c>
      <c r="E77" s="110">
        <v>42977</v>
      </c>
      <c r="F77" s="100">
        <v>19538</v>
      </c>
      <c r="G77" s="97">
        <v>7.65</v>
      </c>
      <c r="H77" s="97">
        <v>84.15</v>
      </c>
      <c r="I77" s="98">
        <v>0</v>
      </c>
      <c r="J77" s="97">
        <v>-5.22</v>
      </c>
      <c r="K77" s="97">
        <v>-1.22</v>
      </c>
      <c r="L77" s="98">
        <v>0</v>
      </c>
      <c r="M77" s="98">
        <v>0</v>
      </c>
      <c r="N77" s="97">
        <v>-0.76</v>
      </c>
      <c r="O77" s="98">
        <v>0</v>
      </c>
      <c r="P77" s="98">
        <v>0</v>
      </c>
      <c r="Q77" s="99">
        <v>0</v>
      </c>
      <c r="R77" s="97">
        <f>SUM($H77:Q77)</f>
        <v>76.95</v>
      </c>
    </row>
    <row r="78" spans="1:18" x14ac:dyDescent="0.25">
      <c r="A78"/>
      <c r="B78"/>
      <c r="C78" s="109"/>
      <c r="D78" s="109"/>
      <c r="E78" s="109"/>
      <c r="G78"/>
      <c r="H78"/>
      <c r="I78"/>
      <c r="J78"/>
      <c r="K78"/>
      <c r="L78"/>
      <c r="M78"/>
      <c r="N78"/>
      <c r="O78"/>
      <c r="P78"/>
      <c r="Q78"/>
    </row>
    <row r="79" spans="1:18" ht="14.25" customHeight="1" x14ac:dyDescent="0.25">
      <c r="A79" s="96" t="s">
        <v>204</v>
      </c>
      <c r="B79" s="101" t="s">
        <v>205</v>
      </c>
      <c r="C79" s="110">
        <v>42961</v>
      </c>
      <c r="D79" s="110">
        <v>42974</v>
      </c>
      <c r="E79" s="110">
        <v>42977</v>
      </c>
      <c r="F79" s="100">
        <v>19539</v>
      </c>
      <c r="G79" s="97">
        <v>50.22</v>
      </c>
      <c r="H79" s="97">
        <v>677.97</v>
      </c>
      <c r="I79" s="97">
        <v>-47</v>
      </c>
      <c r="J79" s="97">
        <v>-42.04</v>
      </c>
      <c r="K79" s="97">
        <v>-9.83</v>
      </c>
      <c r="L79" s="98">
        <v>0</v>
      </c>
      <c r="M79" s="97">
        <v>-3.33</v>
      </c>
      <c r="N79" s="97">
        <v>-6.1</v>
      </c>
      <c r="O79" s="98">
        <v>0</v>
      </c>
      <c r="P79" s="98">
        <v>0</v>
      </c>
      <c r="Q79" s="99">
        <v>0</v>
      </c>
      <c r="R79" s="97">
        <f>SUM($H79:Q79)</f>
        <v>569.66999999999996</v>
      </c>
    </row>
    <row r="80" spans="1:18" x14ac:dyDescent="0.25">
      <c r="A80"/>
      <c r="B80"/>
      <c r="C80" s="109"/>
      <c r="D80" s="109"/>
      <c r="E80" s="109"/>
      <c r="G80"/>
      <c r="H80"/>
      <c r="I80"/>
      <c r="J80"/>
      <c r="K80"/>
      <c r="L80"/>
      <c r="M80"/>
      <c r="N80"/>
      <c r="O80"/>
      <c r="P80"/>
      <c r="Q80"/>
    </row>
    <row r="81" spans="1:18" ht="14.25" customHeight="1" x14ac:dyDescent="0.25">
      <c r="A81" s="96" t="s">
        <v>206</v>
      </c>
      <c r="B81" s="101" t="s">
        <v>207</v>
      </c>
      <c r="C81" s="110">
        <v>42961</v>
      </c>
      <c r="D81" s="110">
        <v>42974</v>
      </c>
      <c r="E81" s="110">
        <v>42977</v>
      </c>
      <c r="F81" s="100">
        <v>19540</v>
      </c>
      <c r="G81" s="97">
        <v>124.72</v>
      </c>
      <c r="H81" s="97">
        <v>2690.4</v>
      </c>
      <c r="I81" s="97">
        <v>-271</v>
      </c>
      <c r="J81" s="97">
        <v>-166.8</v>
      </c>
      <c r="K81" s="97">
        <v>-39.01</v>
      </c>
      <c r="L81" s="98">
        <v>0</v>
      </c>
      <c r="M81" s="97">
        <v>-135.88999999999999</v>
      </c>
      <c r="N81" s="97">
        <v>-24.21</v>
      </c>
      <c r="O81" s="98">
        <v>0</v>
      </c>
      <c r="P81" s="97">
        <v>-100</v>
      </c>
      <c r="Q81" s="99">
        <v>0</v>
      </c>
      <c r="R81" s="97">
        <f>SUM($H81:Q81)</f>
        <v>1953.4899999999998</v>
      </c>
    </row>
    <row r="82" spans="1:18" x14ac:dyDescent="0.25">
      <c r="A82"/>
      <c r="B82"/>
      <c r="C82" s="109"/>
      <c r="D82" s="109"/>
      <c r="E82" s="109"/>
      <c r="G82"/>
      <c r="H82"/>
      <c r="I82"/>
      <c r="J82"/>
      <c r="K82"/>
      <c r="L82"/>
      <c r="M82"/>
      <c r="N82"/>
      <c r="O82"/>
      <c r="P82"/>
      <c r="Q82"/>
    </row>
    <row r="83" spans="1:18" ht="14.25" customHeight="1" x14ac:dyDescent="0.25">
      <c r="A83" s="96" t="s">
        <v>208</v>
      </c>
      <c r="B83" s="101" t="s">
        <v>209</v>
      </c>
      <c r="C83" s="110">
        <v>42961</v>
      </c>
      <c r="D83" s="110">
        <v>42974</v>
      </c>
      <c r="E83" s="110">
        <v>42977</v>
      </c>
      <c r="F83" s="100">
        <v>19541</v>
      </c>
      <c r="G83" s="97">
        <v>107.86</v>
      </c>
      <c r="H83" s="97">
        <v>1309.8</v>
      </c>
      <c r="I83" s="97">
        <v>-165</v>
      </c>
      <c r="J83" s="97">
        <v>-81.2</v>
      </c>
      <c r="K83" s="97">
        <v>-18.989999999999998</v>
      </c>
      <c r="L83" s="98">
        <v>0</v>
      </c>
      <c r="M83" s="97">
        <v>-31.18</v>
      </c>
      <c r="N83" s="97">
        <v>-11.79</v>
      </c>
      <c r="O83" s="98">
        <v>0</v>
      </c>
      <c r="P83" s="97">
        <v>-100</v>
      </c>
      <c r="Q83" s="99">
        <v>0</v>
      </c>
      <c r="R83" s="97">
        <f>SUM($H83:Q83)</f>
        <v>901.64</v>
      </c>
    </row>
    <row r="84" spans="1:18" x14ac:dyDescent="0.25">
      <c r="A84"/>
      <c r="B84"/>
      <c r="C84" s="109"/>
      <c r="D84" s="109"/>
      <c r="E84" s="109"/>
      <c r="G84"/>
      <c r="H84"/>
      <c r="I84"/>
      <c r="J84"/>
      <c r="K84"/>
      <c r="L84"/>
      <c r="M84"/>
      <c r="N84"/>
      <c r="O84"/>
      <c r="P84"/>
      <c r="Q84"/>
    </row>
    <row r="85" spans="1:18" ht="14.25" customHeight="1" x14ac:dyDescent="0.25">
      <c r="A85" s="96" t="s">
        <v>210</v>
      </c>
      <c r="B85" s="101" t="s">
        <v>211</v>
      </c>
      <c r="C85" s="110">
        <v>42961</v>
      </c>
      <c r="D85" s="110">
        <v>42974</v>
      </c>
      <c r="E85" s="110">
        <v>42977</v>
      </c>
      <c r="F85" s="100">
        <v>19542</v>
      </c>
      <c r="G85" s="97">
        <v>13.42</v>
      </c>
      <c r="H85" s="97">
        <v>140.91</v>
      </c>
      <c r="I85" s="98">
        <v>0</v>
      </c>
      <c r="J85" s="97">
        <v>-8.74</v>
      </c>
      <c r="K85" s="97">
        <v>-2.04</v>
      </c>
      <c r="L85" s="98">
        <v>0</v>
      </c>
      <c r="M85" s="98">
        <v>0</v>
      </c>
      <c r="N85" s="97">
        <v>-1.27</v>
      </c>
      <c r="O85" s="98">
        <v>0</v>
      </c>
      <c r="P85" s="98">
        <v>0</v>
      </c>
      <c r="Q85" s="99">
        <v>0</v>
      </c>
      <c r="R85" s="97">
        <f>SUM($H85:Q85)</f>
        <v>128.85999999999999</v>
      </c>
    </row>
    <row r="86" spans="1:18" x14ac:dyDescent="0.25">
      <c r="A86"/>
      <c r="B86"/>
      <c r="C86" s="109"/>
      <c r="D86" s="109"/>
      <c r="E86" s="109"/>
      <c r="G86"/>
      <c r="H86"/>
      <c r="I86"/>
      <c r="J86"/>
      <c r="K86"/>
      <c r="L86"/>
      <c r="M86"/>
      <c r="N86"/>
      <c r="O86"/>
      <c r="P86"/>
      <c r="Q86"/>
    </row>
    <row r="87" spans="1:18" ht="14.25" customHeight="1" x14ac:dyDescent="0.25">
      <c r="A87" s="96" t="s">
        <v>248</v>
      </c>
      <c r="B87" s="101" t="s">
        <v>249</v>
      </c>
      <c r="C87" s="110">
        <v>42961</v>
      </c>
      <c r="D87" s="110">
        <v>42974</v>
      </c>
      <c r="E87" s="110">
        <v>42977</v>
      </c>
      <c r="F87" s="100">
        <v>19543</v>
      </c>
      <c r="G87" s="97">
        <v>59.92</v>
      </c>
      <c r="H87" s="97">
        <v>659.12</v>
      </c>
      <c r="I87" s="97">
        <v>-26</v>
      </c>
      <c r="J87" s="97">
        <v>-40.869999999999997</v>
      </c>
      <c r="K87" s="97">
        <v>-9.56</v>
      </c>
      <c r="L87" s="98">
        <v>0</v>
      </c>
      <c r="M87" s="98">
        <v>0</v>
      </c>
      <c r="N87" s="97">
        <v>-5.93</v>
      </c>
      <c r="O87" s="98">
        <v>0</v>
      </c>
      <c r="P87" s="98">
        <v>0</v>
      </c>
      <c r="Q87" s="99">
        <v>0</v>
      </c>
      <c r="R87" s="97">
        <f>SUM($H87:Q87)</f>
        <v>576.7600000000001</v>
      </c>
    </row>
    <row r="88" spans="1:18" x14ac:dyDescent="0.25">
      <c r="A88"/>
      <c r="B88"/>
      <c r="C88" s="109"/>
      <c r="D88" s="109"/>
      <c r="E88" s="109"/>
      <c r="G88"/>
      <c r="H88"/>
      <c r="I88"/>
      <c r="J88"/>
      <c r="K88"/>
      <c r="L88"/>
      <c r="M88"/>
      <c r="N88"/>
      <c r="O88"/>
      <c r="P88"/>
      <c r="Q88"/>
    </row>
    <row r="89" spans="1:18" ht="14.25" customHeight="1" x14ac:dyDescent="0.25">
      <c r="A89" s="96" t="s">
        <v>212</v>
      </c>
      <c r="B89" s="101" t="s">
        <v>213</v>
      </c>
      <c r="C89" s="110">
        <v>42961</v>
      </c>
      <c r="D89" s="110">
        <v>42974</v>
      </c>
      <c r="E89" s="110">
        <v>42977</v>
      </c>
      <c r="F89" s="100">
        <v>19544</v>
      </c>
      <c r="G89" s="97">
        <v>29.12</v>
      </c>
      <c r="H89" s="97">
        <v>322.69</v>
      </c>
      <c r="I89" s="97">
        <v>-23</v>
      </c>
      <c r="J89" s="97">
        <v>-20.010000000000002</v>
      </c>
      <c r="K89" s="97">
        <v>-4.67</v>
      </c>
      <c r="L89" s="98">
        <v>0</v>
      </c>
      <c r="M89" s="98">
        <v>0</v>
      </c>
      <c r="N89" s="97">
        <v>-2.9</v>
      </c>
      <c r="O89" s="98">
        <v>0</v>
      </c>
      <c r="P89" s="98">
        <v>0</v>
      </c>
      <c r="Q89" s="99">
        <v>0</v>
      </c>
      <c r="R89" s="97">
        <f>SUM($H89:Q89)</f>
        <v>272.11</v>
      </c>
    </row>
    <row r="90" spans="1:18" x14ac:dyDescent="0.25">
      <c r="A90"/>
      <c r="B90"/>
      <c r="C90" s="109"/>
      <c r="D90" s="109"/>
      <c r="E90" s="109"/>
      <c r="G90"/>
      <c r="H90"/>
      <c r="I90"/>
      <c r="J90"/>
      <c r="K90"/>
      <c r="L90"/>
      <c r="M90"/>
      <c r="N90"/>
      <c r="O90"/>
      <c r="P90"/>
      <c r="Q90"/>
    </row>
    <row r="91" spans="1:18" ht="14.25" customHeight="1" x14ac:dyDescent="0.25">
      <c r="A91" s="96" t="s">
        <v>214</v>
      </c>
      <c r="B91" s="101" t="s">
        <v>215</v>
      </c>
      <c r="C91" s="110">
        <v>42961</v>
      </c>
      <c r="D91" s="110">
        <v>42974</v>
      </c>
      <c r="E91" s="110">
        <v>42977</v>
      </c>
      <c r="F91" s="100">
        <v>19545</v>
      </c>
      <c r="G91" s="97">
        <v>68.78</v>
      </c>
      <c r="H91" s="97">
        <v>928.54</v>
      </c>
      <c r="I91" s="97">
        <v>-38</v>
      </c>
      <c r="J91" s="97">
        <v>-57.57</v>
      </c>
      <c r="K91" s="97">
        <v>-13.46</v>
      </c>
      <c r="L91" s="98">
        <v>0</v>
      </c>
      <c r="M91" s="97">
        <v>-0.31</v>
      </c>
      <c r="N91" s="97">
        <v>-8.35</v>
      </c>
      <c r="O91" s="98">
        <v>0</v>
      </c>
      <c r="P91" s="98">
        <v>0</v>
      </c>
      <c r="Q91" s="99">
        <v>0</v>
      </c>
      <c r="R91" s="97">
        <f>SUM($H91:Q91)</f>
        <v>810.84999999999991</v>
      </c>
    </row>
    <row r="92" spans="1:18" x14ac:dyDescent="0.25">
      <c r="A92"/>
      <c r="B92"/>
      <c r="C92" s="109"/>
      <c r="D92" s="109"/>
      <c r="E92" s="109"/>
      <c r="G92"/>
      <c r="H92"/>
      <c r="I92"/>
      <c r="J92"/>
      <c r="K92"/>
      <c r="L92"/>
      <c r="M92"/>
      <c r="N92"/>
      <c r="O92"/>
      <c r="P92"/>
      <c r="Q92"/>
    </row>
    <row r="93" spans="1:18" ht="14.25" customHeight="1" x14ac:dyDescent="0.25">
      <c r="A93" s="96" t="s">
        <v>216</v>
      </c>
      <c r="B93" s="101" t="s">
        <v>217</v>
      </c>
      <c r="C93" s="110">
        <v>42961</v>
      </c>
      <c r="D93" s="110">
        <v>42974</v>
      </c>
      <c r="E93" s="110">
        <v>42977</v>
      </c>
      <c r="F93" s="100">
        <v>19546</v>
      </c>
      <c r="G93" s="97">
        <v>67.540000000000006</v>
      </c>
      <c r="H93" s="97">
        <v>810.66</v>
      </c>
      <c r="I93" s="97">
        <v>-25</v>
      </c>
      <c r="J93" s="97">
        <v>-50.26</v>
      </c>
      <c r="K93" s="97">
        <v>-11.76</v>
      </c>
      <c r="L93" s="98">
        <v>0</v>
      </c>
      <c r="M93" s="98">
        <v>0</v>
      </c>
      <c r="N93" s="97">
        <v>-7.29</v>
      </c>
      <c r="O93" s="98">
        <v>0</v>
      </c>
      <c r="P93" s="98">
        <v>0</v>
      </c>
      <c r="Q93" s="99">
        <v>0</v>
      </c>
      <c r="R93" s="97">
        <f>SUM($H93:Q93)</f>
        <v>716.35</v>
      </c>
    </row>
    <row r="94" spans="1:18" x14ac:dyDescent="0.25">
      <c r="A94"/>
      <c r="B94"/>
      <c r="C94" s="109"/>
      <c r="D94" s="109"/>
      <c r="E94" s="109"/>
      <c r="G94"/>
      <c r="H94"/>
      <c r="I94"/>
      <c r="J94"/>
      <c r="K94"/>
      <c r="L94"/>
      <c r="M94"/>
      <c r="N94"/>
      <c r="O94"/>
      <c r="P94"/>
      <c r="Q94"/>
    </row>
    <row r="95" spans="1:18" ht="14.25" customHeight="1" x14ac:dyDescent="0.25">
      <c r="A95" s="96" t="s">
        <v>127</v>
      </c>
      <c r="B95" s="101" t="s">
        <v>129</v>
      </c>
      <c r="C95" s="110">
        <v>42961</v>
      </c>
      <c r="D95" s="110">
        <v>42974</v>
      </c>
      <c r="E95" s="110">
        <v>42977</v>
      </c>
      <c r="F95" s="100">
        <v>19547</v>
      </c>
      <c r="G95" s="97">
        <v>47.77</v>
      </c>
      <c r="H95" s="97">
        <v>668.78</v>
      </c>
      <c r="I95" s="97">
        <v>-27</v>
      </c>
      <c r="J95" s="97">
        <v>-41.46</v>
      </c>
      <c r="K95" s="97">
        <v>-9.6999999999999993</v>
      </c>
      <c r="L95" s="98">
        <v>0</v>
      </c>
      <c r="M95" s="98">
        <v>0</v>
      </c>
      <c r="N95" s="97">
        <v>-6.02</v>
      </c>
      <c r="O95" s="98">
        <v>0</v>
      </c>
      <c r="P95" s="97">
        <v>-100</v>
      </c>
      <c r="Q95" s="99">
        <v>0</v>
      </c>
      <c r="R95" s="97">
        <f>SUM($H95:Q95)</f>
        <v>484.59999999999991</v>
      </c>
    </row>
    <row r="96" spans="1:18" x14ac:dyDescent="0.25">
      <c r="A96"/>
      <c r="B96"/>
      <c r="C96" s="109"/>
      <c r="D96" s="109"/>
      <c r="E96" s="109"/>
      <c r="G96"/>
      <c r="H96"/>
      <c r="I96"/>
      <c r="J96"/>
      <c r="K96"/>
      <c r="L96"/>
      <c r="M96"/>
      <c r="N96"/>
      <c r="O96"/>
      <c r="P96"/>
      <c r="Q96"/>
    </row>
    <row r="97" spans="1:18" ht="14.25" customHeight="1" x14ac:dyDescent="0.25">
      <c r="A97" s="96" t="s">
        <v>218</v>
      </c>
      <c r="B97" s="101" t="s">
        <v>219</v>
      </c>
      <c r="C97" s="110">
        <v>42961</v>
      </c>
      <c r="D97" s="110">
        <v>42974</v>
      </c>
      <c r="E97" s="110">
        <v>42977</v>
      </c>
      <c r="F97" s="100">
        <v>19548</v>
      </c>
      <c r="G97" s="97">
        <v>37.31</v>
      </c>
      <c r="H97" s="97">
        <v>469.5</v>
      </c>
      <c r="I97" s="98">
        <v>0</v>
      </c>
      <c r="J97" s="97">
        <v>-29.11</v>
      </c>
      <c r="K97" s="97">
        <v>-6.81</v>
      </c>
      <c r="L97" s="98">
        <v>0</v>
      </c>
      <c r="M97" s="98">
        <v>0</v>
      </c>
      <c r="N97" s="97">
        <v>-4.2300000000000004</v>
      </c>
      <c r="O97" s="98">
        <v>0</v>
      </c>
      <c r="P97" s="98">
        <v>0</v>
      </c>
      <c r="Q97" s="99">
        <v>0</v>
      </c>
      <c r="R97" s="97">
        <f>SUM($H97:Q97)</f>
        <v>429.34999999999997</v>
      </c>
    </row>
    <row r="98" spans="1:18" x14ac:dyDescent="0.25">
      <c r="A98"/>
      <c r="B98"/>
      <c r="C98" s="109"/>
      <c r="D98" s="109"/>
      <c r="E98" s="109"/>
      <c r="G98"/>
      <c r="H98"/>
      <c r="I98"/>
      <c r="J98"/>
      <c r="K98"/>
      <c r="L98"/>
      <c r="M98"/>
      <c r="N98"/>
      <c r="O98"/>
      <c r="P98"/>
      <c r="Q98"/>
    </row>
    <row r="99" spans="1:18" ht="14.25" customHeight="1" x14ac:dyDescent="0.25">
      <c r="A99" s="96" t="s">
        <v>220</v>
      </c>
      <c r="B99" s="101" t="s">
        <v>221</v>
      </c>
      <c r="C99" s="110">
        <v>42961</v>
      </c>
      <c r="D99" s="110">
        <v>42974</v>
      </c>
      <c r="E99" s="110">
        <v>42977</v>
      </c>
      <c r="F99" s="100">
        <v>19549</v>
      </c>
      <c r="G99" s="97">
        <v>23.36</v>
      </c>
      <c r="H99" s="97">
        <v>332.08</v>
      </c>
      <c r="I99" s="97">
        <v>-24</v>
      </c>
      <c r="J99" s="97">
        <v>-20.59</v>
      </c>
      <c r="K99" s="97">
        <v>-4.8099999999999996</v>
      </c>
      <c r="L99" s="98">
        <v>0</v>
      </c>
      <c r="M99" s="98">
        <v>0</v>
      </c>
      <c r="N99" s="97">
        <v>-2.99</v>
      </c>
      <c r="O99" s="98">
        <v>0</v>
      </c>
      <c r="P99" s="98">
        <v>0</v>
      </c>
      <c r="Q99" s="99">
        <v>0</v>
      </c>
      <c r="R99" s="97">
        <f>SUM($H99:Q99)</f>
        <v>279.69</v>
      </c>
    </row>
    <row r="100" spans="1:18" x14ac:dyDescent="0.25">
      <c r="C100" s="111"/>
      <c r="D100" s="109"/>
      <c r="E100" s="109"/>
    </row>
    <row r="101" spans="1:18" ht="14.25" customHeight="1" x14ac:dyDescent="0.25">
      <c r="A101" s="96" t="s">
        <v>222</v>
      </c>
      <c r="B101" s="102" t="s">
        <v>223</v>
      </c>
      <c r="C101" s="112">
        <v>42961</v>
      </c>
      <c r="D101" s="110">
        <v>42974</v>
      </c>
      <c r="E101" s="110">
        <v>42977</v>
      </c>
      <c r="F101" s="100">
        <v>19550</v>
      </c>
      <c r="G101" s="97">
        <v>81.91</v>
      </c>
      <c r="H101" s="97">
        <v>1154.9299999999998</v>
      </c>
      <c r="I101" s="97">
        <v>-51</v>
      </c>
      <c r="J101" s="97">
        <v>-71.599999999999994</v>
      </c>
      <c r="K101" s="97">
        <v>-16.75</v>
      </c>
      <c r="L101" s="98">
        <v>0</v>
      </c>
      <c r="M101" s="97">
        <v>-14.97</v>
      </c>
      <c r="N101" s="97">
        <v>-10.39</v>
      </c>
      <c r="O101" s="98">
        <v>0</v>
      </c>
      <c r="P101" s="98">
        <v>0</v>
      </c>
      <c r="Q101" s="99">
        <v>0</v>
      </c>
      <c r="R101" s="97">
        <f>SUM($H101:Q101)</f>
        <v>990.21999999999991</v>
      </c>
    </row>
    <row r="102" spans="1:18" x14ac:dyDescent="0.25">
      <c r="C102" s="111"/>
      <c r="D102" s="109"/>
      <c r="E102" s="109"/>
    </row>
    <row r="103" spans="1:18" ht="14.25" customHeight="1" x14ac:dyDescent="0.25">
      <c r="A103" s="96" t="s">
        <v>224</v>
      </c>
      <c r="B103" s="102" t="s">
        <v>225</v>
      </c>
      <c r="C103" s="112">
        <v>42961</v>
      </c>
      <c r="D103" s="110">
        <v>42974</v>
      </c>
      <c r="E103" s="110">
        <v>42977</v>
      </c>
      <c r="F103" s="100">
        <v>19551</v>
      </c>
      <c r="G103" s="97">
        <v>36.96</v>
      </c>
      <c r="H103" s="97">
        <v>480.48</v>
      </c>
      <c r="I103" s="98">
        <v>0</v>
      </c>
      <c r="J103" s="97">
        <v>-29.79</v>
      </c>
      <c r="K103" s="97">
        <v>-6.97</v>
      </c>
      <c r="L103" s="98">
        <v>0</v>
      </c>
      <c r="M103" s="98">
        <v>0</v>
      </c>
      <c r="N103" s="97">
        <v>-4.32</v>
      </c>
      <c r="O103" s="98">
        <v>0</v>
      </c>
      <c r="P103" s="98">
        <v>0</v>
      </c>
      <c r="Q103" s="99">
        <v>0</v>
      </c>
      <c r="R103" s="97">
        <f>SUM($H103:Q103)</f>
        <v>439.4</v>
      </c>
    </row>
    <row r="104" spans="1:18" x14ac:dyDescent="0.25">
      <c r="C104" s="111"/>
      <c r="D104" s="109"/>
      <c r="E104" s="109"/>
    </row>
    <row r="105" spans="1:18" ht="14.25" customHeight="1" x14ac:dyDescent="0.25">
      <c r="A105" s="96" t="s">
        <v>226</v>
      </c>
      <c r="B105" s="102" t="s">
        <v>227</v>
      </c>
      <c r="C105" s="112">
        <v>42961</v>
      </c>
      <c r="D105" s="110">
        <v>42974</v>
      </c>
      <c r="E105" s="110">
        <v>42977</v>
      </c>
      <c r="F105" s="100">
        <v>19552</v>
      </c>
      <c r="G105" s="97">
        <v>77.55</v>
      </c>
      <c r="H105" s="97">
        <v>1303.4000000000001</v>
      </c>
      <c r="I105" s="97">
        <v>-35</v>
      </c>
      <c r="J105" s="97">
        <v>-80.81</v>
      </c>
      <c r="K105" s="97">
        <v>-18.899999999999999</v>
      </c>
      <c r="L105" s="98">
        <v>0</v>
      </c>
      <c r="M105" s="97">
        <v>-12.11</v>
      </c>
      <c r="N105" s="97">
        <v>-11.73</v>
      </c>
      <c r="O105" s="98">
        <v>0</v>
      </c>
      <c r="P105" s="98">
        <v>0</v>
      </c>
      <c r="Q105" s="99">
        <v>0</v>
      </c>
      <c r="R105" s="97">
        <f>SUM($H105:Q105)</f>
        <v>1144.8500000000001</v>
      </c>
    </row>
    <row r="106" spans="1:18" x14ac:dyDescent="0.25">
      <c r="C106" s="111"/>
      <c r="D106" s="109"/>
      <c r="E106" s="109"/>
    </row>
    <row r="107" spans="1:18" ht="14.25" customHeight="1" x14ac:dyDescent="0.25">
      <c r="A107" s="96" t="s">
        <v>266</v>
      </c>
      <c r="B107" s="102" t="s">
        <v>267</v>
      </c>
      <c r="C107" s="112">
        <v>42961</v>
      </c>
      <c r="D107" s="110">
        <v>42974</v>
      </c>
      <c r="E107" s="110">
        <v>42977</v>
      </c>
      <c r="F107" s="100">
        <v>19553</v>
      </c>
      <c r="G107" s="97">
        <v>85.22</v>
      </c>
      <c r="H107" s="97">
        <v>974.33</v>
      </c>
      <c r="I107" s="97">
        <v>-2</v>
      </c>
      <c r="J107" s="97">
        <v>-60.41</v>
      </c>
      <c r="K107" s="97">
        <v>-14.13</v>
      </c>
      <c r="L107" s="98">
        <v>0</v>
      </c>
      <c r="M107" s="98">
        <v>0</v>
      </c>
      <c r="N107" s="97">
        <v>-8.77</v>
      </c>
      <c r="O107" s="98">
        <v>0</v>
      </c>
      <c r="P107" s="98">
        <v>0</v>
      </c>
      <c r="Q107" s="99">
        <v>0</v>
      </c>
      <c r="R107" s="97">
        <f>SUM($H107:Q107)</f>
        <v>889.0200000000001</v>
      </c>
    </row>
    <row r="108" spans="1:18" x14ac:dyDescent="0.25">
      <c r="C108" s="111"/>
      <c r="D108" s="109"/>
      <c r="E108" s="109"/>
    </row>
    <row r="109" spans="1:18" ht="14.25" customHeight="1" x14ac:dyDescent="0.25">
      <c r="A109" s="96" t="s">
        <v>131</v>
      </c>
      <c r="B109" s="102" t="s">
        <v>132</v>
      </c>
      <c r="C109" s="112">
        <v>42961</v>
      </c>
      <c r="D109" s="110">
        <v>42974</v>
      </c>
      <c r="E109" s="110">
        <v>42977</v>
      </c>
      <c r="F109" s="100">
        <v>19554</v>
      </c>
      <c r="G109" s="97">
        <v>96.5</v>
      </c>
      <c r="H109" s="97">
        <v>1917.4499999999998</v>
      </c>
      <c r="I109" s="97">
        <v>-108</v>
      </c>
      <c r="J109" s="97">
        <v>-118.89</v>
      </c>
      <c r="K109" s="97">
        <v>-27.8</v>
      </c>
      <c r="L109" s="98">
        <v>0</v>
      </c>
      <c r="M109" s="97">
        <v>-12.67</v>
      </c>
      <c r="N109" s="97">
        <v>-17.260000000000002</v>
      </c>
      <c r="O109" s="98">
        <v>0</v>
      </c>
      <c r="P109" s="97">
        <v>-200</v>
      </c>
      <c r="Q109" s="99">
        <v>0</v>
      </c>
      <c r="R109" s="97">
        <f>SUM($H109:Q109)</f>
        <v>1432.8299999999997</v>
      </c>
    </row>
    <row r="110" spans="1:18" x14ac:dyDescent="0.25">
      <c r="C110" s="111"/>
      <c r="D110" s="109"/>
      <c r="E110" s="109"/>
    </row>
    <row r="111" spans="1:18" ht="14.25" customHeight="1" x14ac:dyDescent="0.25">
      <c r="A111" s="96" t="s">
        <v>228</v>
      </c>
      <c r="B111" s="102" t="s">
        <v>229</v>
      </c>
      <c r="C111" s="112">
        <v>42961</v>
      </c>
      <c r="D111" s="110">
        <v>42974</v>
      </c>
      <c r="E111" s="110">
        <v>42977</v>
      </c>
      <c r="F111" s="100">
        <v>19555</v>
      </c>
      <c r="G111" s="97">
        <v>54.42</v>
      </c>
      <c r="H111" s="97">
        <v>734.67</v>
      </c>
      <c r="I111" s="97">
        <v>-25</v>
      </c>
      <c r="J111" s="97">
        <v>-45.55</v>
      </c>
      <c r="K111" s="97">
        <v>-10.66</v>
      </c>
      <c r="L111" s="98">
        <v>0</v>
      </c>
      <c r="M111" s="97">
        <v>-1.64</v>
      </c>
      <c r="N111" s="97">
        <v>-6.62</v>
      </c>
      <c r="O111" s="98">
        <v>0</v>
      </c>
      <c r="P111" s="98">
        <v>0</v>
      </c>
      <c r="Q111" s="99">
        <v>0</v>
      </c>
      <c r="R111" s="97">
        <f>SUM($H111:Q111)</f>
        <v>645.20000000000005</v>
      </c>
    </row>
    <row r="112" spans="1:18" x14ac:dyDescent="0.25">
      <c r="C112" s="111"/>
      <c r="D112" s="109"/>
      <c r="E112" s="109"/>
    </row>
    <row r="113" spans="1:18" ht="14.25" customHeight="1" x14ac:dyDescent="0.25">
      <c r="A113" s="96" t="s">
        <v>268</v>
      </c>
      <c r="B113" s="102" t="s">
        <v>269</v>
      </c>
      <c r="C113" s="112">
        <v>42961</v>
      </c>
      <c r="D113" s="110">
        <v>42974</v>
      </c>
      <c r="E113" s="110">
        <v>42977</v>
      </c>
      <c r="F113" s="100">
        <v>19556</v>
      </c>
      <c r="G113" s="97">
        <v>36.82</v>
      </c>
      <c r="H113" s="97">
        <v>405.02</v>
      </c>
      <c r="I113" s="98">
        <v>0</v>
      </c>
      <c r="J113" s="97">
        <v>-25.11</v>
      </c>
      <c r="K113" s="97">
        <v>-5.87</v>
      </c>
      <c r="L113" s="98">
        <v>0</v>
      </c>
      <c r="M113" s="98">
        <v>0</v>
      </c>
      <c r="N113" s="97">
        <v>-3.65</v>
      </c>
      <c r="O113" s="98">
        <v>0</v>
      </c>
      <c r="P113" s="98">
        <v>0</v>
      </c>
      <c r="Q113" s="99">
        <v>0</v>
      </c>
      <c r="R113" s="97">
        <f>SUM($H113:Q113)</f>
        <v>370.39</v>
      </c>
    </row>
    <row r="114" spans="1:18" x14ac:dyDescent="0.25">
      <c r="C114" s="111"/>
      <c r="D114" s="109"/>
      <c r="E114" s="109"/>
    </row>
    <row r="115" spans="1:18" ht="14.25" customHeight="1" x14ac:dyDescent="0.25">
      <c r="A115" s="96" t="s">
        <v>230</v>
      </c>
      <c r="B115" s="102" t="s">
        <v>231</v>
      </c>
      <c r="C115" s="112">
        <v>42961</v>
      </c>
      <c r="D115" s="110">
        <v>42974</v>
      </c>
      <c r="E115" s="110">
        <v>42977</v>
      </c>
      <c r="F115" s="100">
        <v>19557</v>
      </c>
      <c r="G115" s="97">
        <v>90.6</v>
      </c>
      <c r="H115" s="97">
        <v>1342.6</v>
      </c>
      <c r="I115" s="97">
        <v>-147</v>
      </c>
      <c r="J115" s="97">
        <v>-83.24</v>
      </c>
      <c r="K115" s="97">
        <v>-19.47</v>
      </c>
      <c r="L115" s="98">
        <v>0</v>
      </c>
      <c r="M115" s="97">
        <v>-28.59</v>
      </c>
      <c r="N115" s="97">
        <v>-12.08</v>
      </c>
      <c r="O115" s="98">
        <v>0</v>
      </c>
      <c r="P115" s="98">
        <v>0</v>
      </c>
      <c r="Q115" s="99">
        <v>0</v>
      </c>
      <c r="R115" s="97">
        <f>SUM($H115:Q115)</f>
        <v>1052.22</v>
      </c>
    </row>
    <row r="116" spans="1:18" x14ac:dyDescent="0.25">
      <c r="C116" s="111"/>
      <c r="D116" s="109"/>
      <c r="E116" s="109"/>
    </row>
    <row r="117" spans="1:18" ht="14.25" customHeight="1" x14ac:dyDescent="0.25">
      <c r="A117" s="96" t="s">
        <v>232</v>
      </c>
      <c r="B117" s="102" t="s">
        <v>233</v>
      </c>
      <c r="C117" s="112">
        <v>42961</v>
      </c>
      <c r="D117" s="110">
        <v>42974</v>
      </c>
      <c r="E117" s="110">
        <v>42977</v>
      </c>
      <c r="F117" s="100">
        <v>19558</v>
      </c>
      <c r="G117" s="97">
        <v>95.95</v>
      </c>
      <c r="H117" s="97">
        <v>1662.8</v>
      </c>
      <c r="I117" s="97">
        <v>-117</v>
      </c>
      <c r="J117" s="97">
        <v>-103.09</v>
      </c>
      <c r="K117" s="97">
        <v>-24.11</v>
      </c>
      <c r="L117" s="98">
        <v>0</v>
      </c>
      <c r="M117" s="97">
        <v>-45.03</v>
      </c>
      <c r="N117" s="97">
        <v>-14.96</v>
      </c>
      <c r="O117" s="98">
        <v>0</v>
      </c>
      <c r="P117" s="97">
        <v>-50</v>
      </c>
      <c r="Q117" s="99">
        <v>0</v>
      </c>
      <c r="R117" s="97">
        <f>SUM($H117:Q117)</f>
        <v>1308.6100000000001</v>
      </c>
    </row>
    <row r="118" spans="1:18" x14ac:dyDescent="0.25">
      <c r="C118" s="111"/>
      <c r="D118" s="109"/>
      <c r="E118" s="109"/>
    </row>
    <row r="119" spans="1:18" ht="14.25" customHeight="1" x14ac:dyDescent="0.25">
      <c r="A119" s="96" t="s">
        <v>256</v>
      </c>
      <c r="B119" s="102" t="s">
        <v>257</v>
      </c>
      <c r="C119" s="112">
        <v>42961</v>
      </c>
      <c r="D119" s="110">
        <v>42974</v>
      </c>
      <c r="E119" s="110">
        <v>42977</v>
      </c>
      <c r="F119" s="100">
        <v>19561</v>
      </c>
      <c r="G119" s="97">
        <v>81.2</v>
      </c>
      <c r="H119" s="97">
        <v>960.03</v>
      </c>
      <c r="I119" s="97">
        <v>-43</v>
      </c>
      <c r="J119" s="97">
        <v>-59.52</v>
      </c>
      <c r="K119" s="97">
        <v>-13.92</v>
      </c>
      <c r="L119" s="98">
        <v>0</v>
      </c>
      <c r="M119" s="97">
        <v>-1.7</v>
      </c>
      <c r="N119" s="97">
        <v>-8.64</v>
      </c>
      <c r="O119" s="98">
        <v>0</v>
      </c>
      <c r="P119" s="98">
        <v>0</v>
      </c>
      <c r="Q119" s="99">
        <v>0</v>
      </c>
      <c r="R119" s="97">
        <f>SUM($H119:Q119)</f>
        <v>833.25</v>
      </c>
    </row>
    <row r="120" spans="1:18" x14ac:dyDescent="0.25">
      <c r="C120" s="111"/>
      <c r="D120" s="109"/>
      <c r="E120" s="109"/>
    </row>
    <row r="121" spans="1:18" ht="14.25" customHeight="1" x14ac:dyDescent="0.25">
      <c r="A121" s="96" t="s">
        <v>234</v>
      </c>
      <c r="B121" s="102" t="s">
        <v>235</v>
      </c>
      <c r="C121" s="112">
        <v>42961</v>
      </c>
      <c r="D121" s="110">
        <v>42974</v>
      </c>
      <c r="E121" s="110">
        <v>42977</v>
      </c>
      <c r="F121" s="100">
        <v>19559</v>
      </c>
      <c r="G121" s="97">
        <v>52.8</v>
      </c>
      <c r="H121" s="97">
        <v>660</v>
      </c>
      <c r="I121" s="97">
        <v>-44</v>
      </c>
      <c r="J121" s="97">
        <v>-40.92</v>
      </c>
      <c r="K121" s="97">
        <v>-9.57</v>
      </c>
      <c r="L121" s="98">
        <v>0</v>
      </c>
      <c r="M121" s="97">
        <v>-2.94</v>
      </c>
      <c r="N121" s="97">
        <v>-5.94</v>
      </c>
      <c r="O121" s="98">
        <v>0</v>
      </c>
      <c r="P121" s="98">
        <v>0</v>
      </c>
      <c r="Q121" s="99">
        <v>0</v>
      </c>
      <c r="R121" s="97">
        <f>SUM($H121:Q121)</f>
        <v>556.62999999999988</v>
      </c>
    </row>
    <row r="122" spans="1:18" x14ac:dyDescent="0.25">
      <c r="C122" s="111"/>
      <c r="D122" s="109"/>
      <c r="E122" s="109"/>
    </row>
    <row r="123" spans="1:18" ht="14.25" customHeight="1" x14ac:dyDescent="0.25">
      <c r="A123" s="96" t="s">
        <v>236</v>
      </c>
      <c r="B123" s="102" t="s">
        <v>237</v>
      </c>
      <c r="C123" s="112">
        <v>42961</v>
      </c>
      <c r="D123" s="110">
        <v>42974</v>
      </c>
      <c r="E123" s="110">
        <v>42977</v>
      </c>
      <c r="F123" s="100">
        <v>19560</v>
      </c>
      <c r="G123" s="97">
        <v>27.26</v>
      </c>
      <c r="H123" s="97">
        <v>354.38</v>
      </c>
      <c r="I123" s="97">
        <v>-11</v>
      </c>
      <c r="J123" s="97">
        <v>-21.98</v>
      </c>
      <c r="K123" s="97">
        <v>-5.14</v>
      </c>
      <c r="L123" s="98">
        <v>0</v>
      </c>
      <c r="M123" s="98">
        <v>0</v>
      </c>
      <c r="N123" s="97">
        <v>-3.19</v>
      </c>
      <c r="O123" s="98">
        <v>0</v>
      </c>
      <c r="P123" s="98">
        <v>0</v>
      </c>
      <c r="Q123" s="99">
        <v>0</v>
      </c>
      <c r="R123" s="97">
        <f>SUM($H123:Q123)</f>
        <v>313.07</v>
      </c>
    </row>
    <row r="124" spans="1:18" x14ac:dyDescent="0.25">
      <c r="C124" s="111"/>
      <c r="D124" s="109"/>
      <c r="E124" s="109"/>
    </row>
    <row r="125" spans="1:18" ht="14.25" customHeight="1" x14ac:dyDescent="0.25">
      <c r="A125" s="96" t="s">
        <v>238</v>
      </c>
      <c r="B125" s="102" t="s">
        <v>239</v>
      </c>
      <c r="C125" s="112">
        <v>42961</v>
      </c>
      <c r="D125" s="110">
        <v>42974</v>
      </c>
      <c r="E125" s="110">
        <v>42977</v>
      </c>
      <c r="F125" s="100">
        <v>19562</v>
      </c>
      <c r="G125" s="97">
        <v>36.68</v>
      </c>
      <c r="H125" s="97">
        <v>476.84</v>
      </c>
      <c r="I125" s="97">
        <v>-8</v>
      </c>
      <c r="J125" s="97">
        <v>-29.56</v>
      </c>
      <c r="K125" s="97">
        <v>-6.92</v>
      </c>
      <c r="L125" s="98">
        <v>0</v>
      </c>
      <c r="M125" s="98">
        <v>0</v>
      </c>
      <c r="N125" s="97">
        <v>-4.29</v>
      </c>
      <c r="O125" s="98">
        <v>0</v>
      </c>
      <c r="P125" s="98">
        <v>0</v>
      </c>
      <c r="Q125" s="99">
        <v>0</v>
      </c>
      <c r="R125" s="97">
        <f>SUM($H125:Q125)</f>
        <v>428.06999999999994</v>
      </c>
    </row>
    <row r="126" spans="1:18" x14ac:dyDescent="0.25">
      <c r="C126" s="111"/>
      <c r="D126" s="109"/>
      <c r="E126" s="109"/>
    </row>
    <row r="127" spans="1:18" x14ac:dyDescent="0.25">
      <c r="A127" s="105" t="s">
        <v>430</v>
      </c>
      <c r="B127" s="103"/>
      <c r="C127" s="113"/>
      <c r="D127" s="113"/>
      <c r="E127" s="113"/>
      <c r="F127" s="104"/>
      <c r="G127" s="69">
        <f>SUBTOTAL(9,G$4:G126)</f>
        <v>3584.4099999999994</v>
      </c>
      <c r="H127" s="69">
        <f>SUBTOTAL(9,H$4:H126)</f>
        <v>55266.740000000013</v>
      </c>
      <c r="I127" s="69">
        <f>SUBTOTAL(9,I$4:I126)</f>
        <v>-3685</v>
      </c>
      <c r="J127" s="69">
        <f>SUBTOTAL(9,J$4:J126)</f>
        <v>-3426.49</v>
      </c>
      <c r="K127" s="69">
        <f>SUBTOTAL(9,K$4:K126)</f>
        <v>-801.38999999999987</v>
      </c>
      <c r="L127" s="104">
        <f>SUBTOTAL(9,L$4:L126)</f>
        <v>0</v>
      </c>
      <c r="M127" s="69">
        <f>SUBTOTAL(9,M$4:M126)</f>
        <v>-881.0200000000001</v>
      </c>
      <c r="N127" s="69">
        <f>SUBTOTAL(9,N$4:N126)</f>
        <v>-497.42</v>
      </c>
      <c r="O127" s="69">
        <f>SUBTOTAL(9,O$4:O126)</f>
        <v>-1011.54</v>
      </c>
      <c r="P127" s="69">
        <f>SUBTOTAL(9,P$4:P126)</f>
        <v>-800</v>
      </c>
      <c r="Q127" s="104">
        <f>SUBTOTAL(9,Q$4:Q126)</f>
        <v>0</v>
      </c>
      <c r="R127" s="106">
        <f>SUBTOTAL(9,R$4:R126)</f>
        <v>44163.88</v>
      </c>
    </row>
  </sheetData>
  <mergeCells count="5">
    <mergeCell ref="A1:C1"/>
    <mergeCell ref="O1:R1"/>
    <mergeCell ref="A2:B2"/>
    <mergeCell ref="C2:F2"/>
    <mergeCell ref="G2:J2"/>
  </mergeCells>
  <phoneticPr fontId="6" type="noConversion"/>
  <pageMargins left="0.5" right="0.5" top="1.1399999999999999" bottom="0.75" header="0.5" footer="0.5"/>
  <pageSetup fitToHeight="0" orientation="landscape" r:id="rId1"/>
  <headerFooter alignWithMargins="0">
    <oddHeader>&amp;C&amp;14S.B.C.R. INC._x000D_2618 DE LA VINA STREET | SANTA BARBARA, CA 93105_x000D_EIN: 77-0516672</oddHeader>
    <oddFooter>&amp;L&amp;14Page &amp;P of &amp;N&amp;C&amp;"Arial,Bold"&amp;19 Payroll Register&amp;R&amp;14 Aug 30 - Aug 30, 2017</oddFooter>
  </headerFooter>
  <drawing r:id="rId2"/>
  <legacyDrawing r:id="rId3"/>
  <controls>
    <mc:AlternateContent xmlns:mc="http://schemas.openxmlformats.org/markup-compatibility/2006">
      <mc:Choice Requires="x14">
        <control shapeId="12311" r:id="rId4" name="ComboBox1">
          <controlPr defaultSize="0" print="0" autoLine="0" r:id="rId5">
            <anchor moveWithCells="1">
              <from>
                <xdr:col>6</xdr:col>
                <xdr:colOff>45720</xdr:colOff>
                <xdr:row>0</xdr:row>
                <xdr:rowOff>30480</xdr:rowOff>
              </from>
              <to>
                <xdr:col>9</xdr:col>
                <xdr:colOff>167640</xdr:colOff>
                <xdr:row>0</xdr:row>
                <xdr:rowOff>259080</xdr:rowOff>
              </to>
            </anchor>
          </controlPr>
        </control>
      </mc:Choice>
      <mc:Fallback>
        <control shapeId="12311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N627"/>
  <sheetViews>
    <sheetView showGridLines="0" zoomScaleNormal="100" workbookViewId="0">
      <selection sqref="A1:D1"/>
    </sheetView>
  </sheetViews>
  <sheetFormatPr defaultColWidth="9.109375" defaultRowHeight="13.2" x14ac:dyDescent="0.25"/>
  <cols>
    <col min="1" max="1" width="20.77734375" style="4" bestFit="1" customWidth="1"/>
    <col min="2" max="2" width="8.109375" style="5" bestFit="1" customWidth="1"/>
    <col min="3" max="3" width="9.109375" style="4" bestFit="1" customWidth="1"/>
    <col min="4" max="4" width="10.109375" style="4" bestFit="1" customWidth="1"/>
    <col min="5" max="5" width="26.6640625" style="4" bestFit="1" customWidth="1"/>
    <col min="6" max="6" width="8.77734375" style="4" bestFit="1" customWidth="1"/>
    <col min="7" max="7" width="10.77734375" style="4" bestFit="1" customWidth="1"/>
    <col min="8" max="8" width="16.5546875" style="4" bestFit="1" customWidth="1"/>
    <col min="9" max="9" width="9.109375" style="4" bestFit="1" customWidth="1"/>
    <col min="10" max="10" width="10.109375" style="4" bestFit="1" customWidth="1"/>
    <col min="11" max="11" width="1.77734375" style="4" customWidth="1"/>
    <col min="12" max="12" width="27.77734375" style="4" bestFit="1" customWidth="1"/>
    <col min="13" max="13" width="8.109375" style="4" bestFit="1" customWidth="1"/>
    <col min="14" max="14" width="9.109375" style="4" bestFit="1" customWidth="1"/>
    <col min="15" max="16384" width="9.109375" style="4"/>
  </cols>
  <sheetData>
    <row r="1" spans="1:14" ht="17.399999999999999" x14ac:dyDescent="0.3">
      <c r="A1" s="55" t="s">
        <v>276</v>
      </c>
      <c r="B1" s="31"/>
      <c r="C1" s="31"/>
      <c r="D1" s="31"/>
    </row>
    <row r="2" spans="1:14" ht="19.95" customHeight="1" x14ac:dyDescent="0.3">
      <c r="A2" s="33" t="s">
        <v>277</v>
      </c>
      <c r="B2" s="34"/>
      <c r="C2" s="34"/>
      <c r="D2" s="34"/>
      <c r="E2" s="33" t="s">
        <v>278</v>
      </c>
      <c r="F2" s="34"/>
      <c r="G2" s="34"/>
      <c r="H2" s="33" t="s">
        <v>279</v>
      </c>
      <c r="I2" s="34"/>
      <c r="J2" s="34"/>
      <c r="K2" s="35"/>
      <c r="L2" s="33" t="s">
        <v>280</v>
      </c>
      <c r="M2" s="34"/>
      <c r="N2" s="34"/>
    </row>
    <row r="3" spans="1:14" ht="15.6" x14ac:dyDescent="0.3">
      <c r="A3" s="36" t="s">
        <v>281</v>
      </c>
      <c r="B3" s="37"/>
      <c r="C3" s="37"/>
      <c r="D3" s="37"/>
    </row>
    <row r="4" spans="1:14" ht="4.95" customHeight="1" x14ac:dyDescent="0.25"/>
    <row r="5" spans="1:14" ht="15" customHeight="1" x14ac:dyDescent="0.25">
      <c r="A5" s="40" t="s">
        <v>148</v>
      </c>
      <c r="B5" s="41"/>
      <c r="C5" s="41"/>
      <c r="D5" s="40" t="s">
        <v>282</v>
      </c>
      <c r="E5" s="41"/>
      <c r="F5" s="41"/>
      <c r="G5" s="41"/>
      <c r="H5" s="41"/>
      <c r="I5" s="42" t="s">
        <v>283</v>
      </c>
      <c r="J5" s="43"/>
      <c r="K5" s="39"/>
      <c r="L5" s="38"/>
      <c r="M5" s="38"/>
      <c r="N5" s="38"/>
    </row>
    <row r="6" spans="1:14" x14ac:dyDescent="0.25">
      <c r="A6" s="45" t="s">
        <v>284</v>
      </c>
      <c r="B6" s="44" t="s">
        <v>125</v>
      </c>
      <c r="C6" s="44" t="s">
        <v>285</v>
      </c>
      <c r="D6" s="44" t="s">
        <v>286</v>
      </c>
      <c r="E6" s="45" t="s">
        <v>287</v>
      </c>
      <c r="F6" s="44" t="s">
        <v>285</v>
      </c>
      <c r="G6" s="44" t="s">
        <v>286</v>
      </c>
      <c r="H6" s="45" t="s">
        <v>288</v>
      </c>
      <c r="I6" s="44" t="s">
        <v>285</v>
      </c>
      <c r="J6" s="44" t="s">
        <v>286</v>
      </c>
      <c r="K6" s="46"/>
      <c r="L6" s="45" t="s">
        <v>288</v>
      </c>
      <c r="M6" s="44" t="s">
        <v>285</v>
      </c>
      <c r="N6" s="44" t="s">
        <v>286</v>
      </c>
    </row>
    <row r="7" spans="1:14" x14ac:dyDescent="0.25">
      <c r="A7" s="47" t="s">
        <v>141</v>
      </c>
      <c r="B7" s="48">
        <v>51.35</v>
      </c>
      <c r="C7" s="48">
        <v>616.20000000000005</v>
      </c>
      <c r="D7" s="48">
        <v>13091.160000000003</v>
      </c>
      <c r="E7" s="47" t="s">
        <v>140</v>
      </c>
      <c r="F7" s="48">
        <v>-44</v>
      </c>
      <c r="G7" s="48">
        <v>-1201</v>
      </c>
      <c r="H7" s="47"/>
      <c r="I7" s="49"/>
      <c r="J7" s="49"/>
      <c r="L7" s="47" t="s">
        <v>146</v>
      </c>
      <c r="M7" s="48">
        <v>40.61</v>
      </c>
      <c r="N7" s="48">
        <v>900.9699999999998</v>
      </c>
    </row>
    <row r="8" spans="1:14" x14ac:dyDescent="0.25">
      <c r="A8" s="47" t="s">
        <v>145</v>
      </c>
      <c r="B8" s="48">
        <v>2.15</v>
      </c>
      <c r="C8" s="48">
        <v>38.700000000000003</v>
      </c>
      <c r="D8" s="48">
        <v>1440.5400000000002</v>
      </c>
      <c r="E8" s="47" t="s">
        <v>147</v>
      </c>
      <c r="F8" s="48">
        <v>-40.61</v>
      </c>
      <c r="G8" s="48">
        <v>-900.9699999999998</v>
      </c>
      <c r="H8" s="47"/>
      <c r="I8" s="49"/>
      <c r="J8" s="49"/>
      <c r="L8" s="47" t="s">
        <v>142</v>
      </c>
      <c r="M8" s="48">
        <v>9.5</v>
      </c>
      <c r="N8" s="48">
        <v>210.71</v>
      </c>
    </row>
    <row r="9" spans="1:14" x14ac:dyDescent="0.25">
      <c r="A9" s="47"/>
      <c r="B9" s="49"/>
      <c r="C9" s="49"/>
      <c r="D9" s="49"/>
      <c r="E9" s="47" t="s">
        <v>143</v>
      </c>
      <c r="F9" s="48">
        <v>-9.5</v>
      </c>
      <c r="G9" s="48">
        <v>-210.71</v>
      </c>
      <c r="H9" s="47"/>
      <c r="I9" s="49"/>
      <c r="J9" s="49"/>
      <c r="L9" s="47" t="s">
        <v>138</v>
      </c>
      <c r="M9" s="49">
        <v>0</v>
      </c>
      <c r="N9" s="48">
        <v>42</v>
      </c>
    </row>
    <row r="10" spans="1:14" x14ac:dyDescent="0.25">
      <c r="A10" s="47"/>
      <c r="B10" s="49"/>
      <c r="C10" s="49"/>
      <c r="D10" s="49"/>
      <c r="E10" s="47" t="s">
        <v>144</v>
      </c>
      <c r="F10" s="49">
        <v>0</v>
      </c>
      <c r="G10" s="49">
        <v>0</v>
      </c>
      <c r="H10" s="47"/>
      <c r="I10" s="49"/>
      <c r="J10" s="49"/>
      <c r="L10" s="47" t="s">
        <v>136</v>
      </c>
      <c r="M10" s="49">
        <v>0</v>
      </c>
      <c r="N10" s="48">
        <v>203.00000000000003</v>
      </c>
    </row>
    <row r="11" spans="1:14" x14ac:dyDescent="0.25">
      <c r="A11" s="47"/>
      <c r="B11" s="49"/>
      <c r="C11" s="49"/>
      <c r="D11" s="49"/>
      <c r="E11" s="47" t="s">
        <v>137</v>
      </c>
      <c r="F11" s="48">
        <v>-2.83</v>
      </c>
      <c r="G11" s="48">
        <v>-120.13000000000001</v>
      </c>
      <c r="H11" s="47"/>
      <c r="I11" s="49"/>
      <c r="J11" s="49"/>
      <c r="L11" s="47" t="s">
        <v>135</v>
      </c>
      <c r="M11" s="49">
        <v>0</v>
      </c>
      <c r="N11" s="48">
        <v>7.0000000000000018</v>
      </c>
    </row>
    <row r="12" spans="1:14" x14ac:dyDescent="0.25">
      <c r="A12" s="47"/>
      <c r="B12" s="49"/>
      <c r="C12" s="49"/>
      <c r="D12" s="49"/>
      <c r="E12" s="47" t="s">
        <v>133</v>
      </c>
      <c r="F12" s="48">
        <v>-5.9</v>
      </c>
      <c r="G12" s="48">
        <v>-130.79</v>
      </c>
      <c r="H12" s="47"/>
      <c r="I12" s="49"/>
      <c r="J12" s="49"/>
      <c r="L12" s="47"/>
      <c r="M12" s="49"/>
      <c r="N12" s="49"/>
    </row>
    <row r="13" spans="1:14" ht="15" customHeight="1" x14ac:dyDescent="0.25">
      <c r="A13" s="53" t="s">
        <v>289</v>
      </c>
      <c r="B13" s="51">
        <f>SUM(B6:B12)</f>
        <v>53.5</v>
      </c>
      <c r="C13" s="51">
        <f>SUM(C6:C12)</f>
        <v>654.90000000000009</v>
      </c>
      <c r="D13" s="51">
        <f>SUM(D6:D12)</f>
        <v>14531.700000000004</v>
      </c>
      <c r="E13" s="53" t="s">
        <v>290</v>
      </c>
      <c r="F13" s="51">
        <f>SUM(F6:F12)</f>
        <v>-102.84</v>
      </c>
      <c r="G13" s="51">
        <f>SUM(G6:G12)</f>
        <v>-2563.6</v>
      </c>
      <c r="H13" s="53" t="s">
        <v>291</v>
      </c>
      <c r="I13" s="52">
        <f>SUM(I6:I12)</f>
        <v>0</v>
      </c>
      <c r="J13" s="52">
        <f>SUM(J6:J12)</f>
        <v>0</v>
      </c>
      <c r="K13" s="54"/>
      <c r="L13" s="53" t="s">
        <v>292</v>
      </c>
      <c r="M13" s="51">
        <f>SUM(M6:M12)</f>
        <v>50.11</v>
      </c>
      <c r="N13" s="51">
        <f>SUM(N6:N12)</f>
        <v>1363.6799999999998</v>
      </c>
    </row>
    <row r="14" spans="1:14" ht="19.95" customHeight="1" x14ac:dyDescent="0.25">
      <c r="H14" s="53" t="s">
        <v>293</v>
      </c>
      <c r="I14" s="51">
        <f>C13+F13+I13</f>
        <v>552.06000000000006</v>
      </c>
      <c r="J14" s="51">
        <f>D13+G13+J13</f>
        <v>11968.100000000004</v>
      </c>
    </row>
    <row r="15" spans="1:14" ht="15" customHeight="1" x14ac:dyDescent="0.25">
      <c r="A15" s="40" t="s">
        <v>150</v>
      </c>
      <c r="B15" s="41"/>
      <c r="C15" s="41"/>
      <c r="D15" s="40" t="s">
        <v>294</v>
      </c>
      <c r="E15" s="41"/>
      <c r="F15" s="41"/>
      <c r="G15" s="41"/>
      <c r="H15" s="41"/>
      <c r="I15" s="42" t="s">
        <v>295</v>
      </c>
      <c r="J15" s="43"/>
      <c r="K15" s="39"/>
      <c r="L15" s="38"/>
      <c r="M15" s="38"/>
      <c r="N15" s="38"/>
    </row>
    <row r="16" spans="1:14" x14ac:dyDescent="0.25">
      <c r="A16" s="45" t="s">
        <v>284</v>
      </c>
      <c r="B16" s="44" t="s">
        <v>125</v>
      </c>
      <c r="C16" s="44" t="s">
        <v>285</v>
      </c>
      <c r="D16" s="44" t="s">
        <v>286</v>
      </c>
      <c r="E16" s="45" t="s">
        <v>287</v>
      </c>
      <c r="F16" s="44" t="s">
        <v>285</v>
      </c>
      <c r="G16" s="44" t="s">
        <v>286</v>
      </c>
      <c r="H16" s="45" t="s">
        <v>288</v>
      </c>
      <c r="I16" s="44" t="s">
        <v>285</v>
      </c>
      <c r="J16" s="44" t="s">
        <v>286</v>
      </c>
      <c r="K16" s="46"/>
      <c r="L16" s="45" t="s">
        <v>288</v>
      </c>
      <c r="M16" s="44" t="s">
        <v>285</v>
      </c>
      <c r="N16" s="44" t="s">
        <v>286</v>
      </c>
    </row>
    <row r="17" spans="1:14" x14ac:dyDescent="0.25">
      <c r="A17" s="47" t="s">
        <v>141</v>
      </c>
      <c r="B17" s="48">
        <v>80</v>
      </c>
      <c r="C17" s="48">
        <v>960</v>
      </c>
      <c r="D17" s="48">
        <v>15957.48</v>
      </c>
      <c r="E17" s="47" t="s">
        <v>140</v>
      </c>
      <c r="F17" s="48">
        <v>-99</v>
      </c>
      <c r="G17" s="48">
        <v>-1709</v>
      </c>
      <c r="H17" s="47" t="s">
        <v>130</v>
      </c>
      <c r="I17" s="49">
        <v>0</v>
      </c>
      <c r="J17" s="49">
        <v>0</v>
      </c>
      <c r="L17" s="47" t="s">
        <v>146</v>
      </c>
      <c r="M17" s="48">
        <v>82.65</v>
      </c>
      <c r="N17" s="48">
        <v>1440.4</v>
      </c>
    </row>
    <row r="18" spans="1:14" x14ac:dyDescent="0.25">
      <c r="A18" s="47" t="s">
        <v>250</v>
      </c>
      <c r="B18" s="49">
        <v>0</v>
      </c>
      <c r="C18" s="49">
        <v>0</v>
      </c>
      <c r="D18" s="48">
        <v>288</v>
      </c>
      <c r="E18" s="47" t="s">
        <v>147</v>
      </c>
      <c r="F18" s="48">
        <v>-82.65</v>
      </c>
      <c r="G18" s="48">
        <v>-1440.4</v>
      </c>
      <c r="H18" s="47"/>
      <c r="I18" s="49"/>
      <c r="J18" s="49"/>
      <c r="L18" s="47" t="s">
        <v>142</v>
      </c>
      <c r="M18" s="48">
        <v>19.329999999999998</v>
      </c>
      <c r="N18" s="48">
        <v>336.86999999999995</v>
      </c>
    </row>
    <row r="19" spans="1:14" x14ac:dyDescent="0.25">
      <c r="A19" s="47" t="s">
        <v>145</v>
      </c>
      <c r="B19" s="48">
        <v>20.73</v>
      </c>
      <c r="C19" s="48">
        <v>373.14</v>
      </c>
      <c r="D19" s="48">
        <v>6830.8200000000006</v>
      </c>
      <c r="E19" s="47" t="s">
        <v>143</v>
      </c>
      <c r="F19" s="48">
        <v>-19.329999999999998</v>
      </c>
      <c r="G19" s="48">
        <v>-336.86999999999995</v>
      </c>
      <c r="H19" s="47"/>
      <c r="I19" s="49"/>
      <c r="J19" s="49"/>
      <c r="L19" s="47" t="s">
        <v>138</v>
      </c>
      <c r="M19" s="49">
        <v>0</v>
      </c>
      <c r="N19" s="48">
        <v>42</v>
      </c>
    </row>
    <row r="20" spans="1:14" x14ac:dyDescent="0.25">
      <c r="A20" s="47" t="s">
        <v>253</v>
      </c>
      <c r="B20" s="49">
        <v>0</v>
      </c>
      <c r="C20" s="49">
        <v>0</v>
      </c>
      <c r="D20" s="48">
        <v>156</v>
      </c>
      <c r="E20" s="47" t="s">
        <v>144</v>
      </c>
      <c r="F20" s="49">
        <v>0</v>
      </c>
      <c r="G20" s="49">
        <v>0</v>
      </c>
      <c r="H20" s="47"/>
      <c r="I20" s="49"/>
      <c r="J20" s="49"/>
      <c r="L20" s="47" t="s">
        <v>136</v>
      </c>
      <c r="M20" s="49">
        <v>0</v>
      </c>
      <c r="N20" s="48">
        <v>202.99999999999997</v>
      </c>
    </row>
    <row r="21" spans="1:14" x14ac:dyDescent="0.25">
      <c r="A21" s="47"/>
      <c r="B21" s="49"/>
      <c r="C21" s="49"/>
      <c r="D21" s="49"/>
      <c r="E21" s="47" t="s">
        <v>137</v>
      </c>
      <c r="F21" s="48">
        <v>-18.57</v>
      </c>
      <c r="G21" s="48">
        <v>-357.40999999999997</v>
      </c>
      <c r="H21" s="47"/>
      <c r="I21" s="49"/>
      <c r="J21" s="49"/>
      <c r="L21" s="47" t="s">
        <v>135</v>
      </c>
      <c r="M21" s="49">
        <v>0</v>
      </c>
      <c r="N21" s="48">
        <v>7</v>
      </c>
    </row>
    <row r="22" spans="1:14" x14ac:dyDescent="0.25">
      <c r="A22" s="47"/>
      <c r="B22" s="49"/>
      <c r="C22" s="49"/>
      <c r="D22" s="49"/>
      <c r="E22" s="47" t="s">
        <v>133</v>
      </c>
      <c r="F22" s="48">
        <v>-12</v>
      </c>
      <c r="G22" s="48">
        <v>-209.09</v>
      </c>
      <c r="H22" s="47"/>
      <c r="I22" s="49"/>
      <c r="J22" s="49"/>
      <c r="L22" s="47"/>
      <c r="M22" s="49"/>
      <c r="N22" s="49"/>
    </row>
    <row r="23" spans="1:14" ht="15" customHeight="1" x14ac:dyDescent="0.25">
      <c r="A23" s="53" t="s">
        <v>289</v>
      </c>
      <c r="B23" s="51">
        <f>SUM(B16:B22)</f>
        <v>100.73</v>
      </c>
      <c r="C23" s="51">
        <f>SUM(C16:C22)</f>
        <v>1333.1399999999999</v>
      </c>
      <c r="D23" s="51">
        <f>SUM(D16:D22)</f>
        <v>23232.3</v>
      </c>
      <c r="E23" s="53" t="s">
        <v>290</v>
      </c>
      <c r="F23" s="51">
        <f>SUM(F16:F22)</f>
        <v>-231.55</v>
      </c>
      <c r="G23" s="51">
        <f>SUM(G16:G22)</f>
        <v>-4052.77</v>
      </c>
      <c r="H23" s="53" t="s">
        <v>291</v>
      </c>
      <c r="I23" s="52">
        <f>SUM(I16:I22)</f>
        <v>0</v>
      </c>
      <c r="J23" s="52">
        <f>SUM(J16:J22)</f>
        <v>0</v>
      </c>
      <c r="K23" s="54"/>
      <c r="L23" s="53" t="s">
        <v>292</v>
      </c>
      <c r="M23" s="51">
        <f>SUM(M16:M22)</f>
        <v>101.98</v>
      </c>
      <c r="N23" s="51">
        <f>SUM(N16:N22)</f>
        <v>2029.27</v>
      </c>
    </row>
    <row r="24" spans="1:14" ht="19.95" customHeight="1" x14ac:dyDescent="0.25">
      <c r="H24" s="53" t="s">
        <v>293</v>
      </c>
      <c r="I24" s="51">
        <f>C23+F23+I23</f>
        <v>1101.5899999999999</v>
      </c>
      <c r="J24" s="51">
        <f>D23+G23+J23</f>
        <v>19179.53</v>
      </c>
    </row>
    <row r="25" spans="1:14" ht="15" customHeight="1" x14ac:dyDescent="0.25">
      <c r="A25" s="40" t="s">
        <v>152</v>
      </c>
      <c r="B25" s="41"/>
      <c r="C25" s="41"/>
      <c r="D25" s="40" t="s">
        <v>296</v>
      </c>
      <c r="E25" s="41"/>
      <c r="F25" s="41"/>
      <c r="G25" s="41"/>
      <c r="H25" s="41"/>
      <c r="I25" s="42" t="s">
        <v>297</v>
      </c>
      <c r="J25" s="43"/>
      <c r="K25" s="39"/>
      <c r="L25" s="38"/>
      <c r="M25" s="38"/>
      <c r="N25" s="38"/>
    </row>
    <row r="26" spans="1:14" x14ac:dyDescent="0.25">
      <c r="A26" s="45" t="s">
        <v>284</v>
      </c>
      <c r="B26" s="44" t="s">
        <v>125</v>
      </c>
      <c r="C26" s="44" t="s">
        <v>285</v>
      </c>
      <c r="D26" s="44" t="s">
        <v>286</v>
      </c>
      <c r="E26" s="45" t="s">
        <v>287</v>
      </c>
      <c r="F26" s="44" t="s">
        <v>285</v>
      </c>
      <c r="G26" s="44" t="s">
        <v>286</v>
      </c>
      <c r="H26" s="45" t="s">
        <v>288</v>
      </c>
      <c r="I26" s="44" t="s">
        <v>285</v>
      </c>
      <c r="J26" s="44" t="s">
        <v>286</v>
      </c>
      <c r="K26" s="46"/>
      <c r="L26" s="45" t="s">
        <v>288</v>
      </c>
      <c r="M26" s="44" t="s">
        <v>285</v>
      </c>
      <c r="N26" s="44" t="s">
        <v>286</v>
      </c>
    </row>
    <row r="27" spans="1:14" x14ac:dyDescent="0.25">
      <c r="A27" s="47" t="s">
        <v>141</v>
      </c>
      <c r="B27" s="48">
        <v>54.83</v>
      </c>
      <c r="C27" s="48">
        <v>657.96</v>
      </c>
      <c r="D27" s="48">
        <v>11677.8</v>
      </c>
      <c r="E27" s="47" t="s">
        <v>140</v>
      </c>
      <c r="F27" s="49">
        <v>0</v>
      </c>
      <c r="G27" s="49">
        <v>0</v>
      </c>
      <c r="H27" s="47" t="s">
        <v>130</v>
      </c>
      <c r="I27" s="49">
        <v>0</v>
      </c>
      <c r="J27" s="49">
        <v>0</v>
      </c>
      <c r="L27" s="47" t="s">
        <v>146</v>
      </c>
      <c r="M27" s="48">
        <v>43.29</v>
      </c>
      <c r="N27" s="48">
        <v>807.43000000000006</v>
      </c>
    </row>
    <row r="28" spans="1:14" x14ac:dyDescent="0.25">
      <c r="A28" s="47" t="s">
        <v>145</v>
      </c>
      <c r="B28" s="48">
        <v>2.2400000000000002</v>
      </c>
      <c r="C28" s="48">
        <v>40.32</v>
      </c>
      <c r="D28" s="48">
        <v>1345.32</v>
      </c>
      <c r="E28" s="47" t="s">
        <v>147</v>
      </c>
      <c r="F28" s="48">
        <v>-43.29</v>
      </c>
      <c r="G28" s="48">
        <v>-807.43000000000006</v>
      </c>
      <c r="H28" s="47"/>
      <c r="I28" s="49"/>
      <c r="J28" s="49"/>
      <c r="L28" s="47" t="s">
        <v>142</v>
      </c>
      <c r="M28" s="48">
        <v>10.130000000000001</v>
      </c>
      <c r="N28" s="48">
        <v>188.83999999999997</v>
      </c>
    </row>
    <row r="29" spans="1:14" x14ac:dyDescent="0.25">
      <c r="A29" s="47"/>
      <c r="B29" s="49"/>
      <c r="C29" s="49"/>
      <c r="D29" s="49"/>
      <c r="E29" s="47" t="s">
        <v>143</v>
      </c>
      <c r="F29" s="48">
        <v>-10.130000000000001</v>
      </c>
      <c r="G29" s="48">
        <v>-188.83999999999997</v>
      </c>
      <c r="H29" s="47"/>
      <c r="I29" s="49"/>
      <c r="J29" s="49"/>
      <c r="L29" s="47" t="s">
        <v>138</v>
      </c>
      <c r="M29" s="49">
        <v>0</v>
      </c>
      <c r="N29" s="48">
        <v>42</v>
      </c>
    </row>
    <row r="30" spans="1:14" x14ac:dyDescent="0.25">
      <c r="A30" s="47"/>
      <c r="B30" s="49"/>
      <c r="C30" s="49"/>
      <c r="D30" s="49"/>
      <c r="E30" s="47" t="s">
        <v>144</v>
      </c>
      <c r="F30" s="49">
        <v>0</v>
      </c>
      <c r="G30" s="49">
        <v>0</v>
      </c>
      <c r="H30" s="47"/>
      <c r="I30" s="49"/>
      <c r="J30" s="49"/>
      <c r="L30" s="47" t="s">
        <v>136</v>
      </c>
      <c r="M30" s="49">
        <v>0</v>
      </c>
      <c r="N30" s="48">
        <v>203.00000000000006</v>
      </c>
    </row>
    <row r="31" spans="1:14" x14ac:dyDescent="0.25">
      <c r="A31" s="47"/>
      <c r="B31" s="49"/>
      <c r="C31" s="49"/>
      <c r="D31" s="49"/>
      <c r="E31" s="47" t="s">
        <v>137</v>
      </c>
      <c r="F31" s="49">
        <v>0</v>
      </c>
      <c r="G31" s="49">
        <v>0</v>
      </c>
      <c r="H31" s="47"/>
      <c r="I31" s="49"/>
      <c r="J31" s="49"/>
      <c r="L31" s="47" t="s">
        <v>135</v>
      </c>
      <c r="M31" s="49">
        <v>0</v>
      </c>
      <c r="N31" s="48">
        <v>7</v>
      </c>
    </row>
    <row r="32" spans="1:14" x14ac:dyDescent="0.25">
      <c r="A32" s="47"/>
      <c r="B32" s="49"/>
      <c r="C32" s="49"/>
      <c r="D32" s="49"/>
      <c r="E32" s="47" t="s">
        <v>133</v>
      </c>
      <c r="F32" s="48">
        <v>-6.29</v>
      </c>
      <c r="G32" s="48">
        <v>-117.21000000000002</v>
      </c>
      <c r="H32" s="47"/>
      <c r="I32" s="49"/>
      <c r="J32" s="49"/>
      <c r="L32" s="47"/>
      <c r="M32" s="49"/>
      <c r="N32" s="49"/>
    </row>
    <row r="33" spans="1:14" ht="15" customHeight="1" x14ac:dyDescent="0.25">
      <c r="A33" s="53" t="s">
        <v>289</v>
      </c>
      <c r="B33" s="51">
        <f>SUM(B26:B32)</f>
        <v>57.07</v>
      </c>
      <c r="C33" s="51">
        <f>SUM(C26:C32)</f>
        <v>698.28000000000009</v>
      </c>
      <c r="D33" s="51">
        <f>SUM(D26:D32)</f>
        <v>13023.119999999999</v>
      </c>
      <c r="E33" s="53" t="s">
        <v>290</v>
      </c>
      <c r="F33" s="51">
        <f>SUM(F26:F32)</f>
        <v>-59.71</v>
      </c>
      <c r="G33" s="51">
        <f>SUM(G26:G32)</f>
        <v>-1113.48</v>
      </c>
      <c r="H33" s="53" t="s">
        <v>291</v>
      </c>
      <c r="I33" s="52">
        <f>SUM(I26:I32)</f>
        <v>0</v>
      </c>
      <c r="J33" s="52">
        <f>SUM(J26:J32)</f>
        <v>0</v>
      </c>
      <c r="K33" s="54"/>
      <c r="L33" s="53" t="s">
        <v>292</v>
      </c>
      <c r="M33" s="51">
        <f>SUM(M26:M32)</f>
        <v>53.42</v>
      </c>
      <c r="N33" s="51">
        <f>SUM(N26:N32)</f>
        <v>1248.27</v>
      </c>
    </row>
    <row r="34" spans="1:14" ht="19.95" customHeight="1" x14ac:dyDescent="0.25">
      <c r="H34" s="53" t="s">
        <v>293</v>
      </c>
      <c r="I34" s="51">
        <f>C33+F33+I33</f>
        <v>638.57000000000005</v>
      </c>
      <c r="J34" s="51">
        <f>D33+G33+J33</f>
        <v>11909.64</v>
      </c>
    </row>
    <row r="35" spans="1:14" ht="15" customHeight="1" x14ac:dyDescent="0.25">
      <c r="A35" s="40" t="s">
        <v>154</v>
      </c>
      <c r="B35" s="41"/>
      <c r="C35" s="41"/>
      <c r="D35" s="40" t="s">
        <v>298</v>
      </c>
      <c r="E35" s="41"/>
      <c r="F35" s="41"/>
      <c r="G35" s="41"/>
      <c r="H35" s="41"/>
      <c r="I35" s="42" t="s">
        <v>299</v>
      </c>
      <c r="J35" s="43"/>
      <c r="K35" s="39"/>
      <c r="L35" s="38"/>
      <c r="M35" s="38"/>
      <c r="N35" s="38"/>
    </row>
    <row r="36" spans="1:14" x14ac:dyDescent="0.25">
      <c r="A36" s="45" t="s">
        <v>284</v>
      </c>
      <c r="B36" s="44" t="s">
        <v>125</v>
      </c>
      <c r="C36" s="44" t="s">
        <v>285</v>
      </c>
      <c r="D36" s="44" t="s">
        <v>286</v>
      </c>
      <c r="E36" s="45" t="s">
        <v>287</v>
      </c>
      <c r="F36" s="44" t="s">
        <v>285</v>
      </c>
      <c r="G36" s="44" t="s">
        <v>286</v>
      </c>
      <c r="H36" s="45" t="s">
        <v>288</v>
      </c>
      <c r="I36" s="44" t="s">
        <v>285</v>
      </c>
      <c r="J36" s="44" t="s">
        <v>286</v>
      </c>
      <c r="K36" s="46"/>
      <c r="L36" s="45" t="s">
        <v>288</v>
      </c>
      <c r="M36" s="44" t="s">
        <v>285</v>
      </c>
      <c r="N36" s="44" t="s">
        <v>286</v>
      </c>
    </row>
    <row r="37" spans="1:14" x14ac:dyDescent="0.25">
      <c r="A37" s="47" t="s">
        <v>141</v>
      </c>
      <c r="B37" s="48">
        <v>80</v>
      </c>
      <c r="C37" s="48">
        <v>960</v>
      </c>
      <c r="D37" s="48">
        <v>17280</v>
      </c>
      <c r="E37" s="47" t="s">
        <v>140</v>
      </c>
      <c r="F37" s="48">
        <v>-113</v>
      </c>
      <c r="G37" s="48">
        <v>-2034</v>
      </c>
      <c r="H37" s="47"/>
      <c r="I37" s="49"/>
      <c r="J37" s="49"/>
      <c r="L37" s="47" t="s">
        <v>146</v>
      </c>
      <c r="M37" s="48">
        <v>59.52</v>
      </c>
      <c r="N37" s="48">
        <v>1071.3599999999999</v>
      </c>
    </row>
    <row r="38" spans="1:14" x14ac:dyDescent="0.25">
      <c r="A38" s="47"/>
      <c r="B38" s="49"/>
      <c r="C38" s="49"/>
      <c r="D38" s="49"/>
      <c r="E38" s="47" t="s">
        <v>147</v>
      </c>
      <c r="F38" s="48">
        <v>-59.52</v>
      </c>
      <c r="G38" s="48">
        <v>-1071.3599999999999</v>
      </c>
      <c r="H38" s="47"/>
      <c r="I38" s="49"/>
      <c r="J38" s="49"/>
      <c r="L38" s="47" t="s">
        <v>142</v>
      </c>
      <c r="M38" s="48">
        <v>13.92</v>
      </c>
      <c r="N38" s="48">
        <v>250.55999999999989</v>
      </c>
    </row>
    <row r="39" spans="1:14" x14ac:dyDescent="0.25">
      <c r="A39" s="47"/>
      <c r="B39" s="49"/>
      <c r="C39" s="49"/>
      <c r="D39" s="49"/>
      <c r="E39" s="47" t="s">
        <v>143</v>
      </c>
      <c r="F39" s="48">
        <v>-13.92</v>
      </c>
      <c r="G39" s="48">
        <v>-250.55999999999989</v>
      </c>
      <c r="H39" s="47"/>
      <c r="I39" s="49"/>
      <c r="J39" s="49"/>
      <c r="L39" s="47" t="s">
        <v>138</v>
      </c>
      <c r="M39" s="49">
        <v>0</v>
      </c>
      <c r="N39" s="48">
        <v>41.999999999999993</v>
      </c>
    </row>
    <row r="40" spans="1:14" x14ac:dyDescent="0.25">
      <c r="A40" s="47"/>
      <c r="B40" s="49"/>
      <c r="C40" s="49"/>
      <c r="D40" s="49"/>
      <c r="E40" s="47" t="s">
        <v>144</v>
      </c>
      <c r="F40" s="49">
        <v>0</v>
      </c>
      <c r="G40" s="49">
        <v>0</v>
      </c>
      <c r="H40" s="47"/>
      <c r="I40" s="49"/>
      <c r="J40" s="49"/>
      <c r="L40" s="47" t="s">
        <v>136</v>
      </c>
      <c r="M40" s="49">
        <v>0</v>
      </c>
      <c r="N40" s="48">
        <v>203</v>
      </c>
    </row>
    <row r="41" spans="1:14" x14ac:dyDescent="0.25">
      <c r="A41" s="47"/>
      <c r="B41" s="49"/>
      <c r="C41" s="49"/>
      <c r="D41" s="49"/>
      <c r="E41" s="47" t="s">
        <v>137</v>
      </c>
      <c r="F41" s="48">
        <v>-15.78</v>
      </c>
      <c r="G41" s="48">
        <v>-284.03999999999996</v>
      </c>
      <c r="H41" s="47"/>
      <c r="I41" s="49"/>
      <c r="J41" s="49"/>
      <c r="L41" s="47" t="s">
        <v>135</v>
      </c>
      <c r="M41" s="49">
        <v>0</v>
      </c>
      <c r="N41" s="48">
        <v>7</v>
      </c>
    </row>
    <row r="42" spans="1:14" x14ac:dyDescent="0.25">
      <c r="A42" s="47"/>
      <c r="B42" s="49"/>
      <c r="C42" s="49"/>
      <c r="D42" s="49"/>
      <c r="E42" s="47" t="s">
        <v>133</v>
      </c>
      <c r="F42" s="48">
        <v>-8.64</v>
      </c>
      <c r="G42" s="48">
        <v>-155.51999999999998</v>
      </c>
      <c r="H42" s="47"/>
      <c r="I42" s="49"/>
      <c r="J42" s="49"/>
      <c r="L42" s="47"/>
      <c r="M42" s="49"/>
      <c r="N42" s="49"/>
    </row>
    <row r="43" spans="1:14" ht="15" customHeight="1" x14ac:dyDescent="0.25">
      <c r="A43" s="53" t="s">
        <v>289</v>
      </c>
      <c r="B43" s="51">
        <f>SUM(B36:B42)</f>
        <v>80</v>
      </c>
      <c r="C43" s="51">
        <f>SUM(C36:C42)</f>
        <v>960</v>
      </c>
      <c r="D43" s="51">
        <f>SUM(D36:D42)</f>
        <v>17280</v>
      </c>
      <c r="E43" s="53" t="s">
        <v>290</v>
      </c>
      <c r="F43" s="51">
        <f>SUM(F36:F42)</f>
        <v>-210.86</v>
      </c>
      <c r="G43" s="51">
        <f>SUM(G36:G42)</f>
        <v>-3795.4799999999996</v>
      </c>
      <c r="H43" s="53" t="s">
        <v>291</v>
      </c>
      <c r="I43" s="52">
        <f>SUM(I36:I42)</f>
        <v>0</v>
      </c>
      <c r="J43" s="52">
        <f>SUM(J36:J42)</f>
        <v>0</v>
      </c>
      <c r="K43" s="54"/>
      <c r="L43" s="53" t="s">
        <v>292</v>
      </c>
      <c r="M43" s="51">
        <f>SUM(M36:M42)</f>
        <v>73.44</v>
      </c>
      <c r="N43" s="51">
        <f>SUM(N36:N42)</f>
        <v>1573.9199999999998</v>
      </c>
    </row>
    <row r="44" spans="1:14" ht="19.95" customHeight="1" x14ac:dyDescent="0.25">
      <c r="H44" s="53" t="s">
        <v>293</v>
      </c>
      <c r="I44" s="51">
        <f>C43+F43+I43</f>
        <v>749.14</v>
      </c>
      <c r="J44" s="51">
        <f>D43+G43+J43</f>
        <v>13484.52</v>
      </c>
    </row>
    <row r="45" spans="1:14" ht="15" customHeight="1" x14ac:dyDescent="0.25">
      <c r="A45" s="40" t="s">
        <v>156</v>
      </c>
      <c r="B45" s="41"/>
      <c r="C45" s="41"/>
      <c r="D45" s="40" t="s">
        <v>300</v>
      </c>
      <c r="E45" s="41"/>
      <c r="F45" s="41"/>
      <c r="G45" s="41"/>
      <c r="H45" s="41"/>
      <c r="I45" s="42" t="s">
        <v>301</v>
      </c>
      <c r="J45" s="43"/>
      <c r="K45" s="39"/>
      <c r="L45" s="38"/>
      <c r="M45" s="38"/>
      <c r="N45" s="38"/>
    </row>
    <row r="46" spans="1:14" x14ac:dyDescent="0.25">
      <c r="A46" s="45" t="s">
        <v>284</v>
      </c>
      <c r="B46" s="44" t="s">
        <v>125</v>
      </c>
      <c r="C46" s="44" t="s">
        <v>285</v>
      </c>
      <c r="D46" s="44" t="s">
        <v>286</v>
      </c>
      <c r="E46" s="45" t="s">
        <v>287</v>
      </c>
      <c r="F46" s="44" t="s">
        <v>285</v>
      </c>
      <c r="G46" s="44" t="s">
        <v>286</v>
      </c>
      <c r="H46" s="45" t="s">
        <v>288</v>
      </c>
      <c r="I46" s="44" t="s">
        <v>285</v>
      </c>
      <c r="J46" s="44" t="s">
        <v>286</v>
      </c>
      <c r="K46" s="46"/>
      <c r="L46" s="45" t="s">
        <v>288</v>
      </c>
      <c r="M46" s="44" t="s">
        <v>285</v>
      </c>
      <c r="N46" s="44" t="s">
        <v>286</v>
      </c>
    </row>
    <row r="47" spans="1:14" x14ac:dyDescent="0.25">
      <c r="A47" s="47" t="s">
        <v>158</v>
      </c>
      <c r="B47" s="49">
        <v>0</v>
      </c>
      <c r="C47" s="48">
        <v>525.72</v>
      </c>
      <c r="D47" s="48">
        <v>9462.94</v>
      </c>
      <c r="E47" s="47" t="s">
        <v>140</v>
      </c>
      <c r="F47" s="49">
        <v>0</v>
      </c>
      <c r="G47" s="49">
        <v>0</v>
      </c>
      <c r="H47" s="47" t="s">
        <v>160</v>
      </c>
      <c r="I47" s="48">
        <v>-480.77</v>
      </c>
      <c r="J47" s="48">
        <v>-8653.8600000000042</v>
      </c>
      <c r="L47" s="47" t="s">
        <v>146</v>
      </c>
      <c r="M47" s="48">
        <v>32.590000000000003</v>
      </c>
      <c r="N47" s="48">
        <v>586.70000000000027</v>
      </c>
    </row>
    <row r="48" spans="1:14" x14ac:dyDescent="0.25">
      <c r="A48" s="47"/>
      <c r="B48" s="49"/>
      <c r="C48" s="49"/>
      <c r="D48" s="49"/>
      <c r="E48" s="47" t="s">
        <v>147</v>
      </c>
      <c r="F48" s="48">
        <v>-32.590000000000003</v>
      </c>
      <c r="G48" s="48">
        <v>-586.70000000000027</v>
      </c>
      <c r="H48" s="47"/>
      <c r="I48" s="49"/>
      <c r="J48" s="49"/>
      <c r="L48" s="47" t="s">
        <v>142</v>
      </c>
      <c r="M48" s="48">
        <v>7.62</v>
      </c>
      <c r="N48" s="48">
        <v>137.21</v>
      </c>
    </row>
    <row r="49" spans="1:14" x14ac:dyDescent="0.25">
      <c r="A49" s="47"/>
      <c r="B49" s="49"/>
      <c r="C49" s="49"/>
      <c r="D49" s="49"/>
      <c r="E49" s="47" t="s">
        <v>143</v>
      </c>
      <c r="F49" s="48">
        <v>-7.62</v>
      </c>
      <c r="G49" s="48">
        <v>-137.21</v>
      </c>
      <c r="H49" s="47"/>
      <c r="I49" s="49"/>
      <c r="J49" s="49"/>
      <c r="L49" s="47" t="s">
        <v>138</v>
      </c>
      <c r="M49" s="49">
        <v>0</v>
      </c>
      <c r="N49" s="48">
        <v>41.999999999999993</v>
      </c>
    </row>
    <row r="50" spans="1:14" x14ac:dyDescent="0.25">
      <c r="A50" s="47"/>
      <c r="B50" s="49"/>
      <c r="C50" s="49"/>
      <c r="D50" s="49"/>
      <c r="E50" s="47" t="s">
        <v>144</v>
      </c>
      <c r="F50" s="49">
        <v>0</v>
      </c>
      <c r="G50" s="49">
        <v>0</v>
      </c>
      <c r="H50" s="47"/>
      <c r="I50" s="49"/>
      <c r="J50" s="49"/>
      <c r="L50" s="47" t="s">
        <v>136</v>
      </c>
      <c r="M50" s="49">
        <v>0</v>
      </c>
      <c r="N50" s="48">
        <v>203.00000000000003</v>
      </c>
    </row>
    <row r="51" spans="1:14" x14ac:dyDescent="0.25">
      <c r="A51" s="47"/>
      <c r="B51" s="49"/>
      <c r="C51" s="49"/>
      <c r="D51" s="49"/>
      <c r="E51" s="47" t="s">
        <v>137</v>
      </c>
      <c r="F51" s="49">
        <v>0</v>
      </c>
      <c r="G51" s="49">
        <v>0</v>
      </c>
      <c r="H51" s="47"/>
      <c r="I51" s="49"/>
      <c r="J51" s="49"/>
      <c r="L51" s="47" t="s">
        <v>135</v>
      </c>
      <c r="M51" s="49">
        <v>0</v>
      </c>
      <c r="N51" s="48">
        <v>7.0000000000000018</v>
      </c>
    </row>
    <row r="52" spans="1:14" x14ac:dyDescent="0.25">
      <c r="A52" s="47"/>
      <c r="B52" s="49"/>
      <c r="C52" s="49"/>
      <c r="D52" s="49"/>
      <c r="E52" s="47" t="s">
        <v>133</v>
      </c>
      <c r="F52" s="48">
        <v>-4.74</v>
      </c>
      <c r="G52" s="48">
        <v>-85.17000000000003</v>
      </c>
      <c r="H52" s="47"/>
      <c r="I52" s="49"/>
      <c r="J52" s="49"/>
      <c r="L52" s="47" t="s">
        <v>159</v>
      </c>
      <c r="M52" s="48">
        <v>15.77</v>
      </c>
      <c r="N52" s="48">
        <v>283.86</v>
      </c>
    </row>
    <row r="53" spans="1:14" ht="15" customHeight="1" x14ac:dyDescent="0.25">
      <c r="A53" s="53" t="s">
        <v>289</v>
      </c>
      <c r="B53" s="52">
        <f>SUM(B46:B52)</f>
        <v>0</v>
      </c>
      <c r="C53" s="51">
        <f>SUM(C46:C52)</f>
        <v>525.72</v>
      </c>
      <c r="D53" s="51">
        <f>SUM(D46:D52)</f>
        <v>9462.94</v>
      </c>
      <c r="E53" s="53" t="s">
        <v>290</v>
      </c>
      <c r="F53" s="51">
        <f>SUM(F46:F52)</f>
        <v>-44.95</v>
      </c>
      <c r="G53" s="51">
        <f>SUM(G46:G52)</f>
        <v>-809.08000000000038</v>
      </c>
      <c r="H53" s="53" t="s">
        <v>291</v>
      </c>
      <c r="I53" s="51">
        <f>SUM(I46:I52)</f>
        <v>-480.77</v>
      </c>
      <c r="J53" s="51">
        <f>SUM(J46:J52)</f>
        <v>-8653.8600000000042</v>
      </c>
      <c r="K53" s="54"/>
      <c r="L53" s="53" t="s">
        <v>292</v>
      </c>
      <c r="M53" s="51">
        <f>SUM(M46:M52)</f>
        <v>55.980000000000004</v>
      </c>
      <c r="N53" s="51">
        <f>SUM(N46:N52)</f>
        <v>1259.7700000000004</v>
      </c>
    </row>
    <row r="54" spans="1:14" ht="19.95" customHeight="1" x14ac:dyDescent="0.25">
      <c r="H54" s="53" t="s">
        <v>293</v>
      </c>
      <c r="I54" s="52">
        <f>C53+F53+I53</f>
        <v>0</v>
      </c>
      <c r="J54" s="52">
        <f>D53+G53+J53</f>
        <v>0</v>
      </c>
    </row>
    <row r="55" spans="1:14" ht="15" customHeight="1" x14ac:dyDescent="0.25">
      <c r="A55" s="40" t="s">
        <v>162</v>
      </c>
      <c r="B55" s="41"/>
      <c r="C55" s="41"/>
      <c r="D55" s="40" t="s">
        <v>302</v>
      </c>
      <c r="E55" s="41"/>
      <c r="F55" s="41"/>
      <c r="G55" s="41"/>
      <c r="H55" s="41"/>
      <c r="I55" s="42" t="s">
        <v>303</v>
      </c>
      <c r="J55" s="43"/>
      <c r="K55" s="39"/>
      <c r="L55" s="38"/>
      <c r="M55" s="38"/>
      <c r="N55" s="38"/>
    </row>
    <row r="56" spans="1:14" x14ac:dyDescent="0.25">
      <c r="A56" s="45" t="s">
        <v>284</v>
      </c>
      <c r="B56" s="44" t="s">
        <v>125</v>
      </c>
      <c r="C56" s="44" t="s">
        <v>285</v>
      </c>
      <c r="D56" s="44" t="s">
        <v>286</v>
      </c>
      <c r="E56" s="45" t="s">
        <v>287</v>
      </c>
      <c r="F56" s="44" t="s">
        <v>285</v>
      </c>
      <c r="G56" s="44" t="s">
        <v>286</v>
      </c>
      <c r="H56" s="45" t="s">
        <v>288</v>
      </c>
      <c r="I56" s="44" t="s">
        <v>285</v>
      </c>
      <c r="J56" s="44" t="s">
        <v>286</v>
      </c>
      <c r="K56" s="46"/>
      <c r="L56" s="45" t="s">
        <v>288</v>
      </c>
      <c r="M56" s="44" t="s">
        <v>285</v>
      </c>
      <c r="N56" s="44" t="s">
        <v>286</v>
      </c>
    </row>
    <row r="57" spans="1:14" x14ac:dyDescent="0.25">
      <c r="A57" s="47" t="s">
        <v>158</v>
      </c>
      <c r="B57" s="48">
        <v>80</v>
      </c>
      <c r="C57" s="48">
        <v>2500</v>
      </c>
      <c r="D57" s="48">
        <v>45000</v>
      </c>
      <c r="E57" s="47" t="s">
        <v>140</v>
      </c>
      <c r="F57" s="48">
        <v>-147</v>
      </c>
      <c r="G57" s="48">
        <v>-2646</v>
      </c>
      <c r="H57" s="47" t="s">
        <v>160</v>
      </c>
      <c r="I57" s="48">
        <v>-480.77</v>
      </c>
      <c r="J57" s="48">
        <v>-8653.8600000000042</v>
      </c>
      <c r="L57" s="47" t="s">
        <v>146</v>
      </c>
      <c r="M57" s="48">
        <v>155</v>
      </c>
      <c r="N57" s="48">
        <v>2790</v>
      </c>
    </row>
    <row r="58" spans="1:14" x14ac:dyDescent="0.25">
      <c r="A58" s="47"/>
      <c r="B58" s="49"/>
      <c r="C58" s="49"/>
      <c r="D58" s="49"/>
      <c r="E58" s="47" t="s">
        <v>147</v>
      </c>
      <c r="F58" s="48">
        <v>-155</v>
      </c>
      <c r="G58" s="48">
        <v>-2790</v>
      </c>
      <c r="H58" s="47"/>
      <c r="I58" s="49"/>
      <c r="J58" s="49"/>
      <c r="L58" s="47" t="s">
        <v>142</v>
      </c>
      <c r="M58" s="48">
        <v>36.25</v>
      </c>
      <c r="N58" s="48">
        <v>652.5</v>
      </c>
    </row>
    <row r="59" spans="1:14" x14ac:dyDescent="0.25">
      <c r="A59" s="47"/>
      <c r="B59" s="49"/>
      <c r="C59" s="49"/>
      <c r="D59" s="49"/>
      <c r="E59" s="47" t="s">
        <v>143</v>
      </c>
      <c r="F59" s="48">
        <v>-36.25</v>
      </c>
      <c r="G59" s="48">
        <v>-652.5</v>
      </c>
      <c r="H59" s="47"/>
      <c r="I59" s="49"/>
      <c r="J59" s="49"/>
      <c r="L59" s="47" t="s">
        <v>138</v>
      </c>
      <c r="M59" s="49">
        <v>0</v>
      </c>
      <c r="N59" s="48">
        <v>42</v>
      </c>
    </row>
    <row r="60" spans="1:14" x14ac:dyDescent="0.25">
      <c r="A60" s="47"/>
      <c r="B60" s="49"/>
      <c r="C60" s="49"/>
      <c r="D60" s="49"/>
      <c r="E60" s="47" t="s">
        <v>144</v>
      </c>
      <c r="F60" s="49">
        <v>0</v>
      </c>
      <c r="G60" s="49">
        <v>0</v>
      </c>
      <c r="H60" s="47"/>
      <c r="I60" s="49"/>
      <c r="J60" s="49"/>
      <c r="L60" s="47" t="s">
        <v>136</v>
      </c>
      <c r="M60" s="49">
        <v>0</v>
      </c>
      <c r="N60" s="48">
        <v>203</v>
      </c>
    </row>
    <row r="61" spans="1:14" x14ac:dyDescent="0.25">
      <c r="A61" s="47"/>
      <c r="B61" s="49"/>
      <c r="C61" s="49"/>
      <c r="D61" s="49"/>
      <c r="E61" s="47" t="s">
        <v>137</v>
      </c>
      <c r="F61" s="48">
        <v>-21.85</v>
      </c>
      <c r="G61" s="48">
        <v>-393.30000000000013</v>
      </c>
      <c r="H61" s="47"/>
      <c r="I61" s="49"/>
      <c r="J61" s="49"/>
      <c r="L61" s="47" t="s">
        <v>135</v>
      </c>
      <c r="M61" s="49">
        <v>0</v>
      </c>
      <c r="N61" s="48">
        <v>7</v>
      </c>
    </row>
    <row r="62" spans="1:14" x14ac:dyDescent="0.25">
      <c r="A62" s="47"/>
      <c r="B62" s="49"/>
      <c r="C62" s="49"/>
      <c r="D62" s="49"/>
      <c r="E62" s="47" t="s">
        <v>133</v>
      </c>
      <c r="F62" s="48">
        <v>-22.5</v>
      </c>
      <c r="G62" s="48">
        <v>-405</v>
      </c>
      <c r="H62" s="47"/>
      <c r="I62" s="49"/>
      <c r="J62" s="49"/>
      <c r="L62" s="47" t="s">
        <v>159</v>
      </c>
      <c r="M62" s="48">
        <v>75</v>
      </c>
      <c r="N62" s="48">
        <v>1350</v>
      </c>
    </row>
    <row r="63" spans="1:14" ht="15" customHeight="1" x14ac:dyDescent="0.25">
      <c r="A63" s="53" t="s">
        <v>289</v>
      </c>
      <c r="B63" s="51">
        <f>SUM(B56:B62)</f>
        <v>80</v>
      </c>
      <c r="C63" s="51">
        <f>SUM(C56:C62)</f>
        <v>2500</v>
      </c>
      <c r="D63" s="51">
        <f>SUM(D56:D62)</f>
        <v>45000</v>
      </c>
      <c r="E63" s="53" t="s">
        <v>290</v>
      </c>
      <c r="F63" s="51">
        <f>SUM(F56:F62)</f>
        <v>-382.6</v>
      </c>
      <c r="G63" s="51">
        <f>SUM(G56:G62)</f>
        <v>-6886.8</v>
      </c>
      <c r="H63" s="53" t="s">
        <v>291</v>
      </c>
      <c r="I63" s="51">
        <f>SUM(I56:I62)</f>
        <v>-480.77</v>
      </c>
      <c r="J63" s="51">
        <f>SUM(J56:J62)</f>
        <v>-8653.8600000000042</v>
      </c>
      <c r="K63" s="54"/>
      <c r="L63" s="53" t="s">
        <v>292</v>
      </c>
      <c r="M63" s="51">
        <f>SUM(M56:M62)</f>
        <v>266.25</v>
      </c>
      <c r="N63" s="51">
        <f>SUM(N56:N62)</f>
        <v>5044.5</v>
      </c>
    </row>
    <row r="64" spans="1:14" ht="19.95" customHeight="1" x14ac:dyDescent="0.25">
      <c r="H64" s="53" t="s">
        <v>293</v>
      </c>
      <c r="I64" s="51">
        <f>C63+F63+I63</f>
        <v>1636.63</v>
      </c>
      <c r="J64" s="51">
        <f>D63+G63+J63</f>
        <v>29459.339999999993</v>
      </c>
    </row>
    <row r="65" spans="1:14" ht="15" customHeight="1" x14ac:dyDescent="0.25">
      <c r="A65" s="40" t="s">
        <v>164</v>
      </c>
      <c r="B65" s="41"/>
      <c r="C65" s="41"/>
      <c r="D65" s="40" t="s">
        <v>304</v>
      </c>
      <c r="E65" s="41"/>
      <c r="F65" s="41"/>
      <c r="G65" s="41"/>
      <c r="H65" s="41"/>
      <c r="I65" s="42" t="s">
        <v>305</v>
      </c>
      <c r="J65" s="43"/>
      <c r="K65" s="39"/>
      <c r="L65" s="38"/>
      <c r="M65" s="38"/>
      <c r="N65" s="38"/>
    </row>
    <row r="66" spans="1:14" x14ac:dyDescent="0.25">
      <c r="A66" s="45" t="s">
        <v>284</v>
      </c>
      <c r="B66" s="44" t="s">
        <v>125</v>
      </c>
      <c r="C66" s="44" t="s">
        <v>285</v>
      </c>
      <c r="D66" s="44" t="s">
        <v>286</v>
      </c>
      <c r="E66" s="45" t="s">
        <v>287</v>
      </c>
      <c r="F66" s="44" t="s">
        <v>285</v>
      </c>
      <c r="G66" s="44" t="s">
        <v>286</v>
      </c>
      <c r="H66" s="45" t="s">
        <v>288</v>
      </c>
      <c r="I66" s="44" t="s">
        <v>285</v>
      </c>
      <c r="J66" s="44" t="s">
        <v>286</v>
      </c>
      <c r="K66" s="46"/>
      <c r="L66" s="45" t="s">
        <v>288</v>
      </c>
      <c r="M66" s="44" t="s">
        <v>285</v>
      </c>
      <c r="N66" s="44" t="s">
        <v>286</v>
      </c>
    </row>
    <row r="67" spans="1:14" x14ac:dyDescent="0.25">
      <c r="A67" s="47" t="s">
        <v>141</v>
      </c>
      <c r="B67" s="48">
        <v>80</v>
      </c>
      <c r="C67" s="48">
        <v>960</v>
      </c>
      <c r="D67" s="48">
        <v>17280</v>
      </c>
      <c r="E67" s="47" t="s">
        <v>140</v>
      </c>
      <c r="F67" s="48">
        <v>-113</v>
      </c>
      <c r="G67" s="48">
        <v>-7872.28</v>
      </c>
      <c r="H67" s="47" t="s">
        <v>130</v>
      </c>
      <c r="I67" s="49">
        <v>0</v>
      </c>
      <c r="J67" s="48">
        <v>-14000</v>
      </c>
      <c r="L67" s="47" t="s">
        <v>146</v>
      </c>
      <c r="M67" s="48">
        <v>59.52</v>
      </c>
      <c r="N67" s="48">
        <v>2563.0299999999997</v>
      </c>
    </row>
    <row r="68" spans="1:14" x14ac:dyDescent="0.25">
      <c r="A68" s="47" t="s">
        <v>182</v>
      </c>
      <c r="B68" s="49">
        <v>0</v>
      </c>
      <c r="C68" s="49">
        <v>0</v>
      </c>
      <c r="D68" s="48">
        <v>24059.22</v>
      </c>
      <c r="E68" s="47" t="s">
        <v>147</v>
      </c>
      <c r="F68" s="48">
        <v>-59.52</v>
      </c>
      <c r="G68" s="48">
        <v>-2563.0299999999997</v>
      </c>
      <c r="H68" s="47"/>
      <c r="I68" s="49"/>
      <c r="J68" s="49"/>
      <c r="L68" s="47" t="s">
        <v>142</v>
      </c>
      <c r="M68" s="48">
        <v>13.92</v>
      </c>
      <c r="N68" s="48">
        <v>599.41999999999996</v>
      </c>
    </row>
    <row r="69" spans="1:14" x14ac:dyDescent="0.25">
      <c r="A69" s="47"/>
      <c r="B69" s="49"/>
      <c r="C69" s="49"/>
      <c r="D69" s="49"/>
      <c r="E69" s="47" t="s">
        <v>143</v>
      </c>
      <c r="F69" s="48">
        <v>-13.92</v>
      </c>
      <c r="G69" s="48">
        <v>-599.41999999999996</v>
      </c>
      <c r="H69" s="47"/>
      <c r="I69" s="49"/>
      <c r="J69" s="49"/>
      <c r="L69" s="47" t="s">
        <v>138</v>
      </c>
      <c r="M69" s="49">
        <v>0</v>
      </c>
      <c r="N69" s="48">
        <v>42</v>
      </c>
    </row>
    <row r="70" spans="1:14" x14ac:dyDescent="0.25">
      <c r="A70" s="47"/>
      <c r="B70" s="49"/>
      <c r="C70" s="49"/>
      <c r="D70" s="49"/>
      <c r="E70" s="47" t="s">
        <v>144</v>
      </c>
      <c r="F70" s="49">
        <v>0</v>
      </c>
      <c r="G70" s="49">
        <v>0</v>
      </c>
      <c r="H70" s="47"/>
      <c r="I70" s="49"/>
      <c r="J70" s="49"/>
      <c r="L70" s="47" t="s">
        <v>136</v>
      </c>
      <c r="M70" s="49">
        <v>0</v>
      </c>
      <c r="N70" s="48">
        <v>203</v>
      </c>
    </row>
    <row r="71" spans="1:14" x14ac:dyDescent="0.25">
      <c r="A71" s="47"/>
      <c r="B71" s="49"/>
      <c r="C71" s="49"/>
      <c r="D71" s="49"/>
      <c r="E71" s="47" t="s">
        <v>137</v>
      </c>
      <c r="F71" s="48">
        <v>-15.78</v>
      </c>
      <c r="G71" s="48">
        <v>-2447.9200000000037</v>
      </c>
      <c r="H71" s="47"/>
      <c r="I71" s="49"/>
      <c r="J71" s="49"/>
      <c r="L71" s="47" t="s">
        <v>135</v>
      </c>
      <c r="M71" s="49">
        <v>0</v>
      </c>
      <c r="N71" s="48">
        <v>7</v>
      </c>
    </row>
    <row r="72" spans="1:14" x14ac:dyDescent="0.25">
      <c r="A72" s="47"/>
      <c r="B72" s="49"/>
      <c r="C72" s="49"/>
      <c r="D72" s="49"/>
      <c r="E72" s="47" t="s">
        <v>133</v>
      </c>
      <c r="F72" s="48">
        <v>-8.64</v>
      </c>
      <c r="G72" s="48">
        <v>-372.04999999999978</v>
      </c>
      <c r="H72" s="47"/>
      <c r="I72" s="49"/>
      <c r="J72" s="49"/>
      <c r="L72" s="47"/>
      <c r="M72" s="49"/>
      <c r="N72" s="49"/>
    </row>
    <row r="73" spans="1:14" ht="15" customHeight="1" x14ac:dyDescent="0.25">
      <c r="A73" s="53" t="s">
        <v>289</v>
      </c>
      <c r="B73" s="51">
        <f>SUM(B66:B72)</f>
        <v>80</v>
      </c>
      <c r="C73" s="51">
        <f>SUM(C66:C72)</f>
        <v>960</v>
      </c>
      <c r="D73" s="51">
        <f>SUM(D66:D72)</f>
        <v>41339.22</v>
      </c>
      <c r="E73" s="53" t="s">
        <v>290</v>
      </c>
      <c r="F73" s="51">
        <f>SUM(F66:F72)</f>
        <v>-210.86</v>
      </c>
      <c r="G73" s="51">
        <f>SUM(G66:G72)</f>
        <v>-13854.700000000003</v>
      </c>
      <c r="H73" s="53" t="s">
        <v>291</v>
      </c>
      <c r="I73" s="52">
        <f>SUM(I66:I72)</f>
        <v>0</v>
      </c>
      <c r="J73" s="51">
        <f>SUM(J66:J72)</f>
        <v>-14000</v>
      </c>
      <c r="K73" s="54"/>
      <c r="L73" s="53" t="s">
        <v>292</v>
      </c>
      <c r="M73" s="51">
        <f>SUM(M66:M72)</f>
        <v>73.44</v>
      </c>
      <c r="N73" s="51">
        <f>SUM(N66:N72)</f>
        <v>3414.45</v>
      </c>
    </row>
    <row r="74" spans="1:14" ht="19.95" customHeight="1" x14ac:dyDescent="0.25">
      <c r="H74" s="53" t="s">
        <v>293</v>
      </c>
      <c r="I74" s="51">
        <f>C73+F73+I73</f>
        <v>749.14</v>
      </c>
      <c r="J74" s="51">
        <f>D73+G73+J73</f>
        <v>13484.519999999997</v>
      </c>
    </row>
    <row r="75" spans="1:14" ht="15" customHeight="1" x14ac:dyDescent="0.25">
      <c r="A75" s="40" t="s">
        <v>166</v>
      </c>
      <c r="B75" s="41"/>
      <c r="C75" s="41"/>
      <c r="D75" s="40" t="s">
        <v>306</v>
      </c>
      <c r="E75" s="41"/>
      <c r="F75" s="41"/>
      <c r="G75" s="41"/>
      <c r="H75" s="41"/>
      <c r="I75" s="42" t="s">
        <v>307</v>
      </c>
      <c r="J75" s="43"/>
      <c r="K75" s="39"/>
      <c r="L75" s="38"/>
      <c r="M75" s="38"/>
      <c r="N75" s="38"/>
    </row>
    <row r="76" spans="1:14" x14ac:dyDescent="0.25">
      <c r="A76" s="45" t="s">
        <v>284</v>
      </c>
      <c r="B76" s="44" t="s">
        <v>125</v>
      </c>
      <c r="C76" s="44" t="s">
        <v>285</v>
      </c>
      <c r="D76" s="44" t="s">
        <v>286</v>
      </c>
      <c r="E76" s="45" t="s">
        <v>287</v>
      </c>
      <c r="F76" s="44" t="s">
        <v>285</v>
      </c>
      <c r="G76" s="44" t="s">
        <v>286</v>
      </c>
      <c r="H76" s="45" t="s">
        <v>288</v>
      </c>
      <c r="I76" s="44" t="s">
        <v>285</v>
      </c>
      <c r="J76" s="44" t="s">
        <v>286</v>
      </c>
      <c r="K76" s="46"/>
      <c r="L76" s="45" t="s">
        <v>288</v>
      </c>
      <c r="M76" s="44" t="s">
        <v>285</v>
      </c>
      <c r="N76" s="44" t="s">
        <v>286</v>
      </c>
    </row>
    <row r="77" spans="1:14" x14ac:dyDescent="0.25">
      <c r="A77" s="47" t="s">
        <v>141</v>
      </c>
      <c r="B77" s="48">
        <v>38.520000000000003</v>
      </c>
      <c r="C77" s="48">
        <v>539.28</v>
      </c>
      <c r="D77" s="48">
        <v>14190.68</v>
      </c>
      <c r="E77" s="47" t="s">
        <v>140</v>
      </c>
      <c r="F77" s="48">
        <v>-53</v>
      </c>
      <c r="G77" s="48">
        <v>-1709</v>
      </c>
      <c r="H77" s="47" t="s">
        <v>130</v>
      </c>
      <c r="I77" s="48">
        <v>-100</v>
      </c>
      <c r="J77" s="48">
        <v>100</v>
      </c>
      <c r="L77" s="47" t="s">
        <v>146</v>
      </c>
      <c r="M77" s="48">
        <v>34.64</v>
      </c>
      <c r="N77" s="48">
        <v>938.19999999999993</v>
      </c>
    </row>
    <row r="78" spans="1:14" x14ac:dyDescent="0.25">
      <c r="A78" s="47" t="s">
        <v>145</v>
      </c>
      <c r="B78" s="48">
        <v>0.93</v>
      </c>
      <c r="C78" s="48">
        <v>19.53</v>
      </c>
      <c r="D78" s="48">
        <v>941.6400000000001</v>
      </c>
      <c r="E78" s="47" t="s">
        <v>147</v>
      </c>
      <c r="F78" s="48">
        <v>-34.64</v>
      </c>
      <c r="G78" s="48">
        <v>-938.19999999999993</v>
      </c>
      <c r="H78" s="47"/>
      <c r="I78" s="49"/>
      <c r="J78" s="49"/>
      <c r="L78" s="47" t="s">
        <v>142</v>
      </c>
      <c r="M78" s="48">
        <v>8.1</v>
      </c>
      <c r="N78" s="48">
        <v>219.42</v>
      </c>
    </row>
    <row r="79" spans="1:14" x14ac:dyDescent="0.25">
      <c r="A79" s="47"/>
      <c r="B79" s="49"/>
      <c r="C79" s="49"/>
      <c r="D79" s="49"/>
      <c r="E79" s="47" t="s">
        <v>143</v>
      </c>
      <c r="F79" s="48">
        <v>-8.1</v>
      </c>
      <c r="G79" s="48">
        <v>-219.42</v>
      </c>
      <c r="H79" s="47"/>
      <c r="I79" s="49"/>
      <c r="J79" s="49"/>
      <c r="L79" s="47" t="s">
        <v>138</v>
      </c>
      <c r="M79" s="49">
        <v>0</v>
      </c>
      <c r="N79" s="48">
        <v>42</v>
      </c>
    </row>
    <row r="80" spans="1:14" x14ac:dyDescent="0.25">
      <c r="A80" s="47"/>
      <c r="B80" s="49"/>
      <c r="C80" s="49"/>
      <c r="D80" s="49"/>
      <c r="E80" s="47" t="s">
        <v>144</v>
      </c>
      <c r="F80" s="49">
        <v>0</v>
      </c>
      <c r="G80" s="49">
        <v>0</v>
      </c>
      <c r="H80" s="47"/>
      <c r="I80" s="49"/>
      <c r="J80" s="49"/>
      <c r="L80" s="47" t="s">
        <v>136</v>
      </c>
      <c r="M80" s="49">
        <v>0</v>
      </c>
      <c r="N80" s="48">
        <v>203</v>
      </c>
    </row>
    <row r="81" spans="1:14" x14ac:dyDescent="0.25">
      <c r="A81" s="47"/>
      <c r="B81" s="49"/>
      <c r="C81" s="49"/>
      <c r="D81" s="49"/>
      <c r="E81" s="47" t="s">
        <v>137</v>
      </c>
      <c r="F81" s="48">
        <v>-5.41</v>
      </c>
      <c r="G81" s="48">
        <v>-224.66000000000003</v>
      </c>
      <c r="H81" s="47"/>
      <c r="I81" s="49"/>
      <c r="J81" s="49"/>
      <c r="L81" s="47" t="s">
        <v>135</v>
      </c>
      <c r="M81" s="49">
        <v>0</v>
      </c>
      <c r="N81" s="48">
        <v>7.0000000000000009</v>
      </c>
    </row>
    <row r="82" spans="1:14" x14ac:dyDescent="0.25">
      <c r="A82" s="47"/>
      <c r="B82" s="49"/>
      <c r="C82" s="49"/>
      <c r="D82" s="49"/>
      <c r="E82" s="47" t="s">
        <v>133</v>
      </c>
      <c r="F82" s="48">
        <v>-5.03</v>
      </c>
      <c r="G82" s="48">
        <v>-136.19</v>
      </c>
      <c r="H82" s="47"/>
      <c r="I82" s="49"/>
      <c r="J82" s="49"/>
      <c r="L82" s="47"/>
      <c r="M82" s="49"/>
      <c r="N82" s="49"/>
    </row>
    <row r="83" spans="1:14" ht="15" customHeight="1" x14ac:dyDescent="0.25">
      <c r="A83" s="53" t="s">
        <v>289</v>
      </c>
      <c r="B83" s="51">
        <f>SUM(B76:B82)</f>
        <v>39.450000000000003</v>
      </c>
      <c r="C83" s="51">
        <f>SUM(C76:C82)</f>
        <v>558.80999999999995</v>
      </c>
      <c r="D83" s="51">
        <f>SUM(D76:D82)</f>
        <v>15132.32</v>
      </c>
      <c r="E83" s="53" t="s">
        <v>290</v>
      </c>
      <c r="F83" s="51">
        <f>SUM(F76:F82)</f>
        <v>-106.17999999999999</v>
      </c>
      <c r="G83" s="51">
        <f>SUM(G76:G82)</f>
        <v>-3227.47</v>
      </c>
      <c r="H83" s="53" t="s">
        <v>291</v>
      </c>
      <c r="I83" s="51">
        <f>SUM(I76:I82)</f>
        <v>-100</v>
      </c>
      <c r="J83" s="51">
        <f>SUM(J76:J82)</f>
        <v>100</v>
      </c>
      <c r="K83" s="54"/>
      <c r="L83" s="53" t="s">
        <v>292</v>
      </c>
      <c r="M83" s="51">
        <f>SUM(M76:M82)</f>
        <v>42.74</v>
      </c>
      <c r="N83" s="51">
        <f>SUM(N76:N82)</f>
        <v>1409.62</v>
      </c>
    </row>
    <row r="84" spans="1:14" ht="19.95" customHeight="1" x14ac:dyDescent="0.25">
      <c r="H84" s="53" t="s">
        <v>293</v>
      </c>
      <c r="I84" s="51">
        <f>C83+F83+I83</f>
        <v>352.62999999999994</v>
      </c>
      <c r="J84" s="51">
        <f>D83+G83+J83</f>
        <v>12004.85</v>
      </c>
    </row>
    <row r="85" spans="1:14" ht="15" customHeight="1" x14ac:dyDescent="0.25">
      <c r="A85" s="40" t="s">
        <v>168</v>
      </c>
      <c r="B85" s="41"/>
      <c r="C85" s="41"/>
      <c r="D85" s="40" t="s">
        <v>308</v>
      </c>
      <c r="E85" s="41"/>
      <c r="F85" s="41"/>
      <c r="G85" s="41"/>
      <c r="H85" s="41"/>
      <c r="I85" s="42" t="s">
        <v>309</v>
      </c>
      <c r="J85" s="43"/>
      <c r="K85" s="39"/>
      <c r="L85" s="38"/>
      <c r="M85" s="38"/>
      <c r="N85" s="38"/>
    </row>
    <row r="86" spans="1:14" x14ac:dyDescent="0.25">
      <c r="A86" s="45" t="s">
        <v>284</v>
      </c>
      <c r="B86" s="44" t="s">
        <v>125</v>
      </c>
      <c r="C86" s="44" t="s">
        <v>285</v>
      </c>
      <c r="D86" s="44" t="s">
        <v>286</v>
      </c>
      <c r="E86" s="45" t="s">
        <v>287</v>
      </c>
      <c r="F86" s="44" t="s">
        <v>285</v>
      </c>
      <c r="G86" s="44" t="s">
        <v>286</v>
      </c>
      <c r="H86" s="45" t="s">
        <v>288</v>
      </c>
      <c r="I86" s="44" t="s">
        <v>285</v>
      </c>
      <c r="J86" s="44" t="s">
        <v>286</v>
      </c>
      <c r="K86" s="46"/>
      <c r="L86" s="45" t="s">
        <v>288</v>
      </c>
      <c r="M86" s="44" t="s">
        <v>285</v>
      </c>
      <c r="N86" s="44" t="s">
        <v>286</v>
      </c>
    </row>
    <row r="87" spans="1:14" x14ac:dyDescent="0.25">
      <c r="A87" s="47" t="s">
        <v>141</v>
      </c>
      <c r="B87" s="48">
        <v>1.8</v>
      </c>
      <c r="C87" s="48">
        <v>23.4</v>
      </c>
      <c r="D87" s="48">
        <v>835.37999999999988</v>
      </c>
      <c r="E87" s="47" t="s">
        <v>140</v>
      </c>
      <c r="F87" s="49">
        <v>0</v>
      </c>
      <c r="G87" s="49">
        <v>0</v>
      </c>
      <c r="H87" s="47" t="s">
        <v>130</v>
      </c>
      <c r="I87" s="49">
        <v>0</v>
      </c>
      <c r="J87" s="49">
        <v>0</v>
      </c>
      <c r="L87" s="47" t="s">
        <v>146</v>
      </c>
      <c r="M87" s="48">
        <v>1.45</v>
      </c>
      <c r="N87" s="48">
        <v>51.790000000000006</v>
      </c>
    </row>
    <row r="88" spans="1:14" x14ac:dyDescent="0.25">
      <c r="A88" s="47"/>
      <c r="B88" s="49"/>
      <c r="C88" s="49"/>
      <c r="D88" s="49"/>
      <c r="E88" s="47" t="s">
        <v>147</v>
      </c>
      <c r="F88" s="48">
        <v>-1.45</v>
      </c>
      <c r="G88" s="48">
        <v>-51.790000000000006</v>
      </c>
      <c r="H88" s="47"/>
      <c r="I88" s="49"/>
      <c r="J88" s="49"/>
      <c r="L88" s="47" t="s">
        <v>142</v>
      </c>
      <c r="M88" s="48">
        <v>0.34</v>
      </c>
      <c r="N88" s="48">
        <v>12.110000000000001</v>
      </c>
    </row>
    <row r="89" spans="1:14" x14ac:dyDescent="0.25">
      <c r="A89" s="47"/>
      <c r="B89" s="49"/>
      <c r="C89" s="49"/>
      <c r="D89" s="49"/>
      <c r="E89" s="47" t="s">
        <v>143</v>
      </c>
      <c r="F89" s="48">
        <v>-0.34</v>
      </c>
      <c r="G89" s="48">
        <v>-12.110000000000001</v>
      </c>
      <c r="H89" s="47"/>
      <c r="I89" s="49"/>
      <c r="J89" s="49"/>
      <c r="L89" s="47" t="s">
        <v>138</v>
      </c>
      <c r="M89" s="48">
        <v>0.14000000000000001</v>
      </c>
      <c r="N89" s="48">
        <v>5.01</v>
      </c>
    </row>
    <row r="90" spans="1:14" x14ac:dyDescent="0.25">
      <c r="A90" s="47"/>
      <c r="B90" s="49"/>
      <c r="C90" s="49"/>
      <c r="D90" s="49"/>
      <c r="E90" s="47" t="s">
        <v>144</v>
      </c>
      <c r="F90" s="49">
        <v>0</v>
      </c>
      <c r="G90" s="49">
        <v>0</v>
      </c>
      <c r="H90" s="47"/>
      <c r="I90" s="49"/>
      <c r="J90" s="49"/>
      <c r="L90" s="47" t="s">
        <v>136</v>
      </c>
      <c r="M90" s="48">
        <v>0.68</v>
      </c>
      <c r="N90" s="48">
        <v>24.230000000000004</v>
      </c>
    </row>
    <row r="91" spans="1:14" x14ac:dyDescent="0.25">
      <c r="A91" s="47"/>
      <c r="B91" s="49"/>
      <c r="C91" s="49"/>
      <c r="D91" s="49"/>
      <c r="E91" s="47" t="s">
        <v>137</v>
      </c>
      <c r="F91" s="49">
        <v>0</v>
      </c>
      <c r="G91" s="49">
        <v>0</v>
      </c>
      <c r="H91" s="47"/>
      <c r="I91" s="49"/>
      <c r="J91" s="49"/>
      <c r="L91" s="47" t="s">
        <v>135</v>
      </c>
      <c r="M91" s="48">
        <v>0.03</v>
      </c>
      <c r="N91" s="48">
        <v>0.8400000000000003</v>
      </c>
    </row>
    <row r="92" spans="1:14" x14ac:dyDescent="0.25">
      <c r="A92" s="47"/>
      <c r="B92" s="49"/>
      <c r="C92" s="49"/>
      <c r="D92" s="49"/>
      <c r="E92" s="47" t="s">
        <v>133</v>
      </c>
      <c r="F92" s="48">
        <v>-0.21</v>
      </c>
      <c r="G92" s="48">
        <v>-7.5200000000000005</v>
      </c>
      <c r="H92" s="47"/>
      <c r="I92" s="49"/>
      <c r="J92" s="49"/>
      <c r="L92" s="47"/>
      <c r="M92" s="49"/>
      <c r="N92" s="49"/>
    </row>
    <row r="93" spans="1:14" ht="15" customHeight="1" x14ac:dyDescent="0.25">
      <c r="A93" s="53" t="s">
        <v>289</v>
      </c>
      <c r="B93" s="51">
        <f>SUM(B86:B92)</f>
        <v>1.8</v>
      </c>
      <c r="C93" s="51">
        <f>SUM(C86:C92)</f>
        <v>23.4</v>
      </c>
      <c r="D93" s="51">
        <f>SUM(D86:D92)</f>
        <v>835.37999999999988</v>
      </c>
      <c r="E93" s="53" t="s">
        <v>290</v>
      </c>
      <c r="F93" s="51">
        <f>SUM(F86:F92)</f>
        <v>-2</v>
      </c>
      <c r="G93" s="51">
        <f>SUM(G86:G92)</f>
        <v>-71.42</v>
      </c>
      <c r="H93" s="53" t="s">
        <v>291</v>
      </c>
      <c r="I93" s="52">
        <f>SUM(I86:I92)</f>
        <v>0</v>
      </c>
      <c r="J93" s="52">
        <f>SUM(J86:J92)</f>
        <v>0</v>
      </c>
      <c r="K93" s="54"/>
      <c r="L93" s="53" t="s">
        <v>292</v>
      </c>
      <c r="M93" s="51">
        <f>SUM(M86:M92)</f>
        <v>2.64</v>
      </c>
      <c r="N93" s="51">
        <f>SUM(N86:N92)</f>
        <v>93.980000000000018</v>
      </c>
    </row>
    <row r="94" spans="1:14" ht="19.95" customHeight="1" x14ac:dyDescent="0.25">
      <c r="H94" s="53" t="s">
        <v>293</v>
      </c>
      <c r="I94" s="51">
        <f>C93+F93+I93</f>
        <v>21.4</v>
      </c>
      <c r="J94" s="51">
        <f>D93+G93+J93</f>
        <v>763.95999999999992</v>
      </c>
    </row>
    <row r="95" spans="1:14" ht="15" customHeight="1" x14ac:dyDescent="0.25">
      <c r="A95" s="40" t="s">
        <v>251</v>
      </c>
      <c r="B95" s="41"/>
      <c r="C95" s="41"/>
      <c r="D95" s="40" t="s">
        <v>310</v>
      </c>
      <c r="E95" s="41"/>
      <c r="F95" s="41"/>
      <c r="G95" s="41"/>
      <c r="H95" s="41"/>
      <c r="I95" s="42" t="s">
        <v>311</v>
      </c>
      <c r="J95" s="43"/>
      <c r="K95" s="39"/>
      <c r="L95" s="38"/>
      <c r="M95" s="38"/>
      <c r="N95" s="38"/>
    </row>
    <row r="96" spans="1:14" x14ac:dyDescent="0.25">
      <c r="A96" s="45" t="s">
        <v>284</v>
      </c>
      <c r="B96" s="44" t="s">
        <v>125</v>
      </c>
      <c r="C96" s="44" t="s">
        <v>285</v>
      </c>
      <c r="D96" s="44" t="s">
        <v>286</v>
      </c>
      <c r="E96" s="45" t="s">
        <v>287</v>
      </c>
      <c r="F96" s="44" t="s">
        <v>285</v>
      </c>
      <c r="G96" s="44" t="s">
        <v>286</v>
      </c>
      <c r="H96" s="45" t="s">
        <v>288</v>
      </c>
      <c r="I96" s="44" t="s">
        <v>285</v>
      </c>
      <c r="J96" s="44" t="s">
        <v>286</v>
      </c>
      <c r="K96" s="46"/>
      <c r="L96" s="45" t="s">
        <v>288</v>
      </c>
      <c r="M96" s="44" t="s">
        <v>285</v>
      </c>
      <c r="N96" s="44" t="s">
        <v>286</v>
      </c>
    </row>
    <row r="97" spans="1:14" x14ac:dyDescent="0.25">
      <c r="A97" s="47" t="s">
        <v>141</v>
      </c>
      <c r="B97" s="48">
        <v>76.489999999999995</v>
      </c>
      <c r="C97" s="48">
        <v>956.13</v>
      </c>
      <c r="D97" s="48">
        <v>9777.2499999999982</v>
      </c>
      <c r="E97" s="47" t="s">
        <v>140</v>
      </c>
      <c r="F97" s="48">
        <v>-39</v>
      </c>
      <c r="G97" s="48">
        <v>-651</v>
      </c>
      <c r="H97" s="47"/>
      <c r="I97" s="49"/>
      <c r="J97" s="49"/>
      <c r="L97" s="47" t="s">
        <v>146</v>
      </c>
      <c r="M97" s="48">
        <v>64.2</v>
      </c>
      <c r="N97" s="48">
        <v>798.46000000000015</v>
      </c>
    </row>
    <row r="98" spans="1:14" x14ac:dyDescent="0.25">
      <c r="A98" s="47" t="s">
        <v>145</v>
      </c>
      <c r="B98" s="48">
        <v>4.2300000000000004</v>
      </c>
      <c r="C98" s="48">
        <v>79.31</v>
      </c>
      <c r="D98" s="48">
        <v>3101.1399999999994</v>
      </c>
      <c r="E98" s="47" t="s">
        <v>147</v>
      </c>
      <c r="F98" s="48">
        <v>-64.2</v>
      </c>
      <c r="G98" s="48">
        <v>-798.46000000000015</v>
      </c>
      <c r="H98" s="47"/>
      <c r="I98" s="49"/>
      <c r="J98" s="49"/>
      <c r="L98" s="47" t="s">
        <v>142</v>
      </c>
      <c r="M98" s="48">
        <v>15.02</v>
      </c>
      <c r="N98" s="48">
        <v>186.74</v>
      </c>
    </row>
    <row r="99" spans="1:14" x14ac:dyDescent="0.25">
      <c r="A99" s="47"/>
      <c r="B99" s="49"/>
      <c r="C99" s="49"/>
      <c r="D99" s="49"/>
      <c r="E99" s="47" t="s">
        <v>143</v>
      </c>
      <c r="F99" s="48">
        <v>-15.02</v>
      </c>
      <c r="G99" s="48">
        <v>-186.74</v>
      </c>
      <c r="H99" s="47"/>
      <c r="I99" s="49"/>
      <c r="J99" s="49"/>
      <c r="L99" s="47" t="s">
        <v>138</v>
      </c>
      <c r="M99" s="49">
        <v>0</v>
      </c>
      <c r="N99" s="48">
        <v>42</v>
      </c>
    </row>
    <row r="100" spans="1:14" x14ac:dyDescent="0.25">
      <c r="A100" s="47"/>
      <c r="B100" s="49"/>
      <c r="C100" s="49"/>
      <c r="D100" s="49"/>
      <c r="E100" s="47" t="s">
        <v>144</v>
      </c>
      <c r="F100" s="49">
        <v>0</v>
      </c>
      <c r="G100" s="49">
        <v>0</v>
      </c>
      <c r="H100" s="47"/>
      <c r="I100" s="49"/>
      <c r="J100" s="49"/>
      <c r="L100" s="47" t="s">
        <v>136</v>
      </c>
      <c r="M100" s="49">
        <v>0</v>
      </c>
      <c r="N100" s="48">
        <v>203</v>
      </c>
    </row>
    <row r="101" spans="1:14" x14ac:dyDescent="0.25">
      <c r="A101" s="47"/>
      <c r="B101" s="49"/>
      <c r="C101" s="49"/>
      <c r="D101" s="49"/>
      <c r="E101" s="47" t="s">
        <v>137</v>
      </c>
      <c r="F101" s="49">
        <v>0</v>
      </c>
      <c r="G101" s="48">
        <v>-67.19</v>
      </c>
      <c r="H101" s="47"/>
      <c r="I101" s="49"/>
      <c r="J101" s="49"/>
      <c r="L101" s="47" t="s">
        <v>135</v>
      </c>
      <c r="M101" s="49">
        <v>0</v>
      </c>
      <c r="N101" s="48">
        <v>7</v>
      </c>
    </row>
    <row r="102" spans="1:14" x14ac:dyDescent="0.25">
      <c r="A102" s="47"/>
      <c r="B102" s="49"/>
      <c r="C102" s="49"/>
      <c r="D102" s="49"/>
      <c r="E102" s="47" t="s">
        <v>133</v>
      </c>
      <c r="F102" s="48">
        <v>-9.32</v>
      </c>
      <c r="G102" s="48">
        <v>-115.91</v>
      </c>
      <c r="H102" s="47"/>
      <c r="I102" s="49"/>
      <c r="J102" s="49"/>
      <c r="L102" s="47"/>
      <c r="M102" s="49"/>
      <c r="N102" s="49"/>
    </row>
    <row r="103" spans="1:14" ht="15" customHeight="1" x14ac:dyDescent="0.25">
      <c r="A103" s="53" t="s">
        <v>289</v>
      </c>
      <c r="B103" s="51">
        <f>SUM(B96:B102)</f>
        <v>80.72</v>
      </c>
      <c r="C103" s="51">
        <f>SUM(C96:C102)</f>
        <v>1035.44</v>
      </c>
      <c r="D103" s="51">
        <f>SUM(D96:D102)</f>
        <v>12878.389999999998</v>
      </c>
      <c r="E103" s="53" t="s">
        <v>290</v>
      </c>
      <c r="F103" s="51">
        <f>SUM(F96:F102)</f>
        <v>-127.53999999999999</v>
      </c>
      <c r="G103" s="51">
        <f>SUM(G96:G102)</f>
        <v>-1819.3000000000002</v>
      </c>
      <c r="H103" s="53" t="s">
        <v>291</v>
      </c>
      <c r="I103" s="52">
        <f>SUM(I96:I102)</f>
        <v>0</v>
      </c>
      <c r="J103" s="52">
        <f>SUM(J96:J102)</f>
        <v>0</v>
      </c>
      <c r="K103" s="54"/>
      <c r="L103" s="53" t="s">
        <v>292</v>
      </c>
      <c r="M103" s="51">
        <f>SUM(M96:M102)</f>
        <v>79.22</v>
      </c>
      <c r="N103" s="51">
        <f>SUM(N96:N102)</f>
        <v>1237.2000000000003</v>
      </c>
    </row>
    <row r="104" spans="1:14" ht="19.95" customHeight="1" x14ac:dyDescent="0.25">
      <c r="H104" s="53" t="s">
        <v>293</v>
      </c>
      <c r="I104" s="51">
        <f>C103+F103+I103</f>
        <v>907.90000000000009</v>
      </c>
      <c r="J104" s="51">
        <f>D103+G103+J103</f>
        <v>11059.089999999997</v>
      </c>
    </row>
    <row r="105" spans="1:14" ht="15" customHeight="1" x14ac:dyDescent="0.25">
      <c r="A105" s="40" t="s">
        <v>170</v>
      </c>
      <c r="B105" s="41"/>
      <c r="C105" s="41"/>
      <c r="D105" s="40" t="s">
        <v>312</v>
      </c>
      <c r="E105" s="41"/>
      <c r="F105" s="41"/>
      <c r="G105" s="41"/>
      <c r="H105" s="41"/>
      <c r="I105" s="42" t="s">
        <v>313</v>
      </c>
      <c r="J105" s="43"/>
      <c r="K105" s="39"/>
      <c r="L105" s="38"/>
      <c r="M105" s="38"/>
      <c r="N105" s="38"/>
    </row>
    <row r="106" spans="1:14" x14ac:dyDescent="0.25">
      <c r="A106" s="45" t="s">
        <v>284</v>
      </c>
      <c r="B106" s="44" t="s">
        <v>125</v>
      </c>
      <c r="C106" s="44" t="s">
        <v>285</v>
      </c>
      <c r="D106" s="44" t="s">
        <v>286</v>
      </c>
      <c r="E106" s="45" t="s">
        <v>287</v>
      </c>
      <c r="F106" s="44" t="s">
        <v>285</v>
      </c>
      <c r="G106" s="44" t="s">
        <v>286</v>
      </c>
      <c r="H106" s="45" t="s">
        <v>288</v>
      </c>
      <c r="I106" s="44" t="s">
        <v>285</v>
      </c>
      <c r="J106" s="44" t="s">
        <v>286</v>
      </c>
      <c r="K106" s="46"/>
      <c r="L106" s="45" t="s">
        <v>288</v>
      </c>
      <c r="M106" s="44" t="s">
        <v>285</v>
      </c>
      <c r="N106" s="44" t="s">
        <v>286</v>
      </c>
    </row>
    <row r="107" spans="1:14" x14ac:dyDescent="0.25">
      <c r="A107" s="47" t="s">
        <v>141</v>
      </c>
      <c r="B107" s="48">
        <v>53.4</v>
      </c>
      <c r="C107" s="48">
        <v>747.6</v>
      </c>
      <c r="D107" s="48">
        <v>13842.22</v>
      </c>
      <c r="E107" s="47" t="s">
        <v>140</v>
      </c>
      <c r="F107" s="49">
        <v>0</v>
      </c>
      <c r="G107" s="48">
        <v>-32</v>
      </c>
      <c r="H107" s="47"/>
      <c r="I107" s="49"/>
      <c r="J107" s="49"/>
      <c r="L107" s="47" t="s">
        <v>146</v>
      </c>
      <c r="M107" s="48">
        <v>46.35</v>
      </c>
      <c r="N107" s="48">
        <v>880.5100000000001</v>
      </c>
    </row>
    <row r="108" spans="1:14" x14ac:dyDescent="0.25">
      <c r="A108" s="47" t="s">
        <v>145</v>
      </c>
      <c r="B108" s="49">
        <v>0</v>
      </c>
      <c r="C108" s="49">
        <v>0</v>
      </c>
      <c r="D108" s="48">
        <v>359.52</v>
      </c>
      <c r="E108" s="47" t="s">
        <v>147</v>
      </c>
      <c r="F108" s="48">
        <v>-46.35</v>
      </c>
      <c r="G108" s="48">
        <v>-880.5100000000001</v>
      </c>
      <c r="H108" s="47"/>
      <c r="I108" s="49"/>
      <c r="J108" s="49"/>
      <c r="L108" s="47" t="s">
        <v>142</v>
      </c>
      <c r="M108" s="48">
        <v>10.84</v>
      </c>
      <c r="N108" s="48">
        <v>205.93</v>
      </c>
    </row>
    <row r="109" spans="1:14" x14ac:dyDescent="0.25">
      <c r="A109" s="47"/>
      <c r="B109" s="49"/>
      <c r="C109" s="49"/>
      <c r="D109" s="49"/>
      <c r="E109" s="47" t="s">
        <v>143</v>
      </c>
      <c r="F109" s="48">
        <v>-10.84</v>
      </c>
      <c r="G109" s="48">
        <v>-205.93</v>
      </c>
      <c r="H109" s="47"/>
      <c r="I109" s="49"/>
      <c r="J109" s="49"/>
      <c r="L109" s="47" t="s">
        <v>138</v>
      </c>
      <c r="M109" s="49">
        <v>0</v>
      </c>
      <c r="N109" s="48">
        <v>42</v>
      </c>
    </row>
    <row r="110" spans="1:14" x14ac:dyDescent="0.25">
      <c r="A110" s="47"/>
      <c r="B110" s="49"/>
      <c r="C110" s="49"/>
      <c r="D110" s="49"/>
      <c r="E110" s="47" t="s">
        <v>144</v>
      </c>
      <c r="F110" s="49">
        <v>0</v>
      </c>
      <c r="G110" s="49">
        <v>0</v>
      </c>
      <c r="H110" s="47"/>
      <c r="I110" s="49"/>
      <c r="J110" s="49"/>
      <c r="L110" s="47" t="s">
        <v>136</v>
      </c>
      <c r="M110" s="49">
        <v>0</v>
      </c>
      <c r="N110" s="48">
        <v>203</v>
      </c>
    </row>
    <row r="111" spans="1:14" x14ac:dyDescent="0.25">
      <c r="A111" s="47"/>
      <c r="B111" s="49"/>
      <c r="C111" s="49"/>
      <c r="D111" s="49"/>
      <c r="E111" s="47" t="s">
        <v>137</v>
      </c>
      <c r="F111" s="49">
        <v>0</v>
      </c>
      <c r="G111" s="49">
        <v>0</v>
      </c>
      <c r="H111" s="47"/>
      <c r="I111" s="49"/>
      <c r="J111" s="49"/>
      <c r="L111" s="47" t="s">
        <v>135</v>
      </c>
      <c r="M111" s="49">
        <v>0</v>
      </c>
      <c r="N111" s="48">
        <v>6.9999999999999991</v>
      </c>
    </row>
    <row r="112" spans="1:14" x14ac:dyDescent="0.25">
      <c r="A112" s="47"/>
      <c r="B112" s="49"/>
      <c r="C112" s="49"/>
      <c r="D112" s="49"/>
      <c r="E112" s="47" t="s">
        <v>133</v>
      </c>
      <c r="F112" s="48">
        <v>-6.73</v>
      </c>
      <c r="G112" s="48">
        <v>-127.82000000000002</v>
      </c>
      <c r="H112" s="47"/>
      <c r="I112" s="49"/>
      <c r="J112" s="49"/>
      <c r="L112" s="47"/>
      <c r="M112" s="49"/>
      <c r="N112" s="49"/>
    </row>
    <row r="113" spans="1:14" ht="15" customHeight="1" x14ac:dyDescent="0.25">
      <c r="A113" s="53" t="s">
        <v>289</v>
      </c>
      <c r="B113" s="51">
        <f>SUM(B106:B112)</f>
        <v>53.4</v>
      </c>
      <c r="C113" s="51">
        <f>SUM(C106:C112)</f>
        <v>747.6</v>
      </c>
      <c r="D113" s="51">
        <f>SUM(D106:D112)</f>
        <v>14201.74</v>
      </c>
      <c r="E113" s="53" t="s">
        <v>290</v>
      </c>
      <c r="F113" s="51">
        <f>SUM(F106:F112)</f>
        <v>-63.92</v>
      </c>
      <c r="G113" s="51">
        <f>SUM(G106:G112)</f>
        <v>-1246.26</v>
      </c>
      <c r="H113" s="53" t="s">
        <v>291</v>
      </c>
      <c r="I113" s="52">
        <f>SUM(I106:I112)</f>
        <v>0</v>
      </c>
      <c r="J113" s="52">
        <f>SUM(J106:J112)</f>
        <v>0</v>
      </c>
      <c r="K113" s="54"/>
      <c r="L113" s="53" t="s">
        <v>292</v>
      </c>
      <c r="M113" s="51">
        <f>SUM(M106:M112)</f>
        <v>57.19</v>
      </c>
      <c r="N113" s="51">
        <f>SUM(N106:N112)</f>
        <v>1338.44</v>
      </c>
    </row>
    <row r="114" spans="1:14" ht="19.95" customHeight="1" x14ac:dyDescent="0.25">
      <c r="H114" s="53" t="s">
        <v>293</v>
      </c>
      <c r="I114" s="51">
        <f>C113+F113+I113</f>
        <v>683.68000000000006</v>
      </c>
      <c r="J114" s="51">
        <f>D113+G113+J113</f>
        <v>12955.48</v>
      </c>
    </row>
    <row r="115" spans="1:14" ht="15" customHeight="1" x14ac:dyDescent="0.25">
      <c r="A115" s="40" t="s">
        <v>240</v>
      </c>
      <c r="B115" s="41"/>
      <c r="C115" s="41"/>
      <c r="D115" s="40" t="s">
        <v>314</v>
      </c>
      <c r="E115" s="41"/>
      <c r="F115" s="41"/>
      <c r="G115" s="41"/>
      <c r="H115" s="41"/>
      <c r="I115" s="42" t="s">
        <v>315</v>
      </c>
      <c r="J115" s="43"/>
      <c r="K115" s="39"/>
      <c r="L115" s="38"/>
      <c r="M115" s="38"/>
      <c r="N115" s="38"/>
    </row>
    <row r="116" spans="1:14" x14ac:dyDescent="0.25">
      <c r="A116" s="45" t="s">
        <v>284</v>
      </c>
      <c r="B116" s="44" t="s">
        <v>125</v>
      </c>
      <c r="C116" s="44" t="s">
        <v>285</v>
      </c>
      <c r="D116" s="44" t="s">
        <v>286</v>
      </c>
      <c r="E116" s="45" t="s">
        <v>287</v>
      </c>
      <c r="F116" s="44" t="s">
        <v>285</v>
      </c>
      <c r="G116" s="44" t="s">
        <v>286</v>
      </c>
      <c r="H116" s="45" t="s">
        <v>288</v>
      </c>
      <c r="I116" s="44" t="s">
        <v>285</v>
      </c>
      <c r="J116" s="44" t="s">
        <v>286</v>
      </c>
      <c r="K116" s="46"/>
      <c r="L116" s="45" t="s">
        <v>288</v>
      </c>
      <c r="M116" s="44" t="s">
        <v>285</v>
      </c>
      <c r="N116" s="44" t="s">
        <v>286</v>
      </c>
    </row>
    <row r="117" spans="1:14" x14ac:dyDescent="0.25">
      <c r="A117" s="47" t="s">
        <v>141</v>
      </c>
      <c r="B117" s="48">
        <v>30.24</v>
      </c>
      <c r="C117" s="48">
        <v>332.64</v>
      </c>
      <c r="D117" s="48">
        <v>4089.58</v>
      </c>
      <c r="E117" s="47" t="s">
        <v>140</v>
      </c>
      <c r="F117" s="49">
        <v>0</v>
      </c>
      <c r="G117" s="48">
        <v>-11</v>
      </c>
      <c r="H117" s="47"/>
      <c r="I117" s="49"/>
      <c r="J117" s="49"/>
      <c r="L117" s="47" t="s">
        <v>146</v>
      </c>
      <c r="M117" s="48">
        <v>21.65</v>
      </c>
      <c r="N117" s="48">
        <v>265.89</v>
      </c>
    </row>
    <row r="118" spans="1:14" x14ac:dyDescent="0.25">
      <c r="A118" s="47" t="s">
        <v>145</v>
      </c>
      <c r="B118" s="48">
        <v>1.01</v>
      </c>
      <c r="C118" s="48">
        <v>16.670000000000002</v>
      </c>
      <c r="D118" s="48">
        <v>199.01</v>
      </c>
      <c r="E118" s="47" t="s">
        <v>147</v>
      </c>
      <c r="F118" s="48">
        <v>-21.65</v>
      </c>
      <c r="G118" s="48">
        <v>-265.89</v>
      </c>
      <c r="H118" s="47"/>
      <c r="I118" s="49"/>
      <c r="J118" s="49"/>
      <c r="L118" s="47" t="s">
        <v>142</v>
      </c>
      <c r="M118" s="48">
        <v>5.0599999999999996</v>
      </c>
      <c r="N118" s="48">
        <v>62.18</v>
      </c>
    </row>
    <row r="119" spans="1:14" x14ac:dyDescent="0.25">
      <c r="A119" s="47"/>
      <c r="B119" s="49"/>
      <c r="C119" s="49"/>
      <c r="D119" s="49"/>
      <c r="E119" s="47" t="s">
        <v>143</v>
      </c>
      <c r="F119" s="48">
        <v>-5.0599999999999996</v>
      </c>
      <c r="G119" s="48">
        <v>-62.18</v>
      </c>
      <c r="H119" s="47"/>
      <c r="I119" s="49"/>
      <c r="J119" s="49"/>
      <c r="L119" s="47" t="s">
        <v>138</v>
      </c>
      <c r="M119" s="48">
        <v>2.09</v>
      </c>
      <c r="N119" s="48">
        <v>25.73</v>
      </c>
    </row>
    <row r="120" spans="1:14" x14ac:dyDescent="0.25">
      <c r="A120" s="47"/>
      <c r="B120" s="49"/>
      <c r="C120" s="49"/>
      <c r="D120" s="49"/>
      <c r="E120" s="47" t="s">
        <v>144</v>
      </c>
      <c r="F120" s="49">
        <v>0</v>
      </c>
      <c r="G120" s="49">
        <v>0</v>
      </c>
      <c r="H120" s="47"/>
      <c r="I120" s="49"/>
      <c r="J120" s="49"/>
      <c r="L120" s="47" t="s">
        <v>136</v>
      </c>
      <c r="M120" s="48">
        <v>10.130000000000001</v>
      </c>
      <c r="N120" s="48">
        <v>124.37</v>
      </c>
    </row>
    <row r="121" spans="1:14" x14ac:dyDescent="0.25">
      <c r="A121" s="47"/>
      <c r="B121" s="49"/>
      <c r="C121" s="49"/>
      <c r="D121" s="49"/>
      <c r="E121" s="47" t="s">
        <v>137</v>
      </c>
      <c r="F121" s="49">
        <v>0</v>
      </c>
      <c r="G121" s="48">
        <v>-0.17</v>
      </c>
      <c r="H121" s="47"/>
      <c r="I121" s="49"/>
      <c r="J121" s="49"/>
      <c r="L121" s="47" t="s">
        <v>135</v>
      </c>
      <c r="M121" s="48">
        <v>0.35</v>
      </c>
      <c r="N121" s="48">
        <v>4.29</v>
      </c>
    </row>
    <row r="122" spans="1:14" x14ac:dyDescent="0.25">
      <c r="A122" s="47"/>
      <c r="B122" s="49"/>
      <c r="C122" s="49"/>
      <c r="D122" s="49"/>
      <c r="E122" s="47" t="s">
        <v>133</v>
      </c>
      <c r="F122" s="48">
        <v>-3.15</v>
      </c>
      <c r="G122" s="48">
        <v>-38.6</v>
      </c>
      <c r="H122" s="47"/>
      <c r="I122" s="49"/>
      <c r="J122" s="49"/>
      <c r="L122" s="47"/>
      <c r="M122" s="49"/>
      <c r="N122" s="49"/>
    </row>
    <row r="123" spans="1:14" ht="15" customHeight="1" x14ac:dyDescent="0.25">
      <c r="A123" s="53" t="s">
        <v>289</v>
      </c>
      <c r="B123" s="51">
        <f>SUM(B116:B122)</f>
        <v>31.25</v>
      </c>
      <c r="C123" s="51">
        <f>SUM(C116:C122)</f>
        <v>349.31</v>
      </c>
      <c r="D123" s="51">
        <f>SUM(D116:D122)</f>
        <v>4288.59</v>
      </c>
      <c r="E123" s="53" t="s">
        <v>290</v>
      </c>
      <c r="F123" s="51">
        <f>SUM(F116:F122)</f>
        <v>-29.859999999999996</v>
      </c>
      <c r="G123" s="51">
        <f>SUM(G116:G122)</f>
        <v>-377.84000000000003</v>
      </c>
      <c r="H123" s="53" t="s">
        <v>291</v>
      </c>
      <c r="I123" s="52">
        <f>SUM(I116:I122)</f>
        <v>0</v>
      </c>
      <c r="J123" s="52">
        <f>SUM(J116:J122)</f>
        <v>0</v>
      </c>
      <c r="K123" s="54"/>
      <c r="L123" s="53" t="s">
        <v>292</v>
      </c>
      <c r="M123" s="51">
        <f>SUM(M116:M122)</f>
        <v>39.28</v>
      </c>
      <c r="N123" s="51">
        <f>SUM(N116:N122)</f>
        <v>482.46000000000004</v>
      </c>
    </row>
    <row r="124" spans="1:14" ht="19.95" customHeight="1" x14ac:dyDescent="0.25">
      <c r="H124" s="53" t="s">
        <v>293</v>
      </c>
      <c r="I124" s="51">
        <f>C123+F123+I123</f>
        <v>319.45</v>
      </c>
      <c r="J124" s="51">
        <f>D123+G123+J123</f>
        <v>3910.75</v>
      </c>
    </row>
    <row r="125" spans="1:14" ht="15" customHeight="1" x14ac:dyDescent="0.25">
      <c r="A125" s="40" t="s">
        <v>242</v>
      </c>
      <c r="B125" s="41"/>
      <c r="C125" s="41"/>
      <c r="D125" s="40" t="s">
        <v>316</v>
      </c>
      <c r="E125" s="41"/>
      <c r="F125" s="41"/>
      <c r="G125" s="41"/>
      <c r="H125" s="41"/>
      <c r="I125" s="42" t="s">
        <v>317</v>
      </c>
      <c r="J125" s="43"/>
      <c r="K125" s="39"/>
      <c r="L125" s="38"/>
      <c r="M125" s="38"/>
      <c r="N125" s="38"/>
    </row>
    <row r="126" spans="1:14" x14ac:dyDescent="0.25">
      <c r="A126" s="45" t="s">
        <v>284</v>
      </c>
      <c r="B126" s="44" t="s">
        <v>125</v>
      </c>
      <c r="C126" s="44" t="s">
        <v>285</v>
      </c>
      <c r="D126" s="44" t="s">
        <v>286</v>
      </c>
      <c r="E126" s="45" t="s">
        <v>287</v>
      </c>
      <c r="F126" s="44" t="s">
        <v>285</v>
      </c>
      <c r="G126" s="44" t="s">
        <v>286</v>
      </c>
      <c r="H126" s="45" t="s">
        <v>288</v>
      </c>
      <c r="I126" s="44" t="s">
        <v>285</v>
      </c>
      <c r="J126" s="44" t="s">
        <v>286</v>
      </c>
      <c r="K126" s="46"/>
      <c r="L126" s="45" t="s">
        <v>288</v>
      </c>
      <c r="M126" s="44" t="s">
        <v>285</v>
      </c>
      <c r="N126" s="44" t="s">
        <v>286</v>
      </c>
    </row>
    <row r="127" spans="1:14" x14ac:dyDescent="0.25">
      <c r="A127" s="47" t="s">
        <v>141</v>
      </c>
      <c r="B127" s="48">
        <v>79.72</v>
      </c>
      <c r="C127" s="48">
        <v>1195.8</v>
      </c>
      <c r="D127" s="48">
        <v>16140.119999999999</v>
      </c>
      <c r="E127" s="47" t="s">
        <v>140</v>
      </c>
      <c r="F127" s="48">
        <v>-121</v>
      </c>
      <c r="G127" s="48">
        <v>-1280</v>
      </c>
      <c r="H127" s="47"/>
      <c r="I127" s="49"/>
      <c r="J127" s="49"/>
      <c r="L127" s="47" t="s">
        <v>146</v>
      </c>
      <c r="M127" s="48">
        <v>82.19</v>
      </c>
      <c r="N127" s="48">
        <v>1163.8000000000002</v>
      </c>
    </row>
    <row r="128" spans="1:14" x14ac:dyDescent="0.25">
      <c r="A128" s="47" t="s">
        <v>145</v>
      </c>
      <c r="B128" s="48">
        <v>5.77</v>
      </c>
      <c r="C128" s="48">
        <v>129.83000000000001</v>
      </c>
      <c r="D128" s="48">
        <v>2630.77</v>
      </c>
      <c r="E128" s="47" t="s">
        <v>147</v>
      </c>
      <c r="F128" s="48">
        <v>-82.19</v>
      </c>
      <c r="G128" s="48">
        <v>-1163.8000000000002</v>
      </c>
      <c r="H128" s="47"/>
      <c r="I128" s="49"/>
      <c r="J128" s="49"/>
      <c r="L128" s="47" t="s">
        <v>142</v>
      </c>
      <c r="M128" s="48">
        <v>19.22</v>
      </c>
      <c r="N128" s="48">
        <v>272.18000000000006</v>
      </c>
    </row>
    <row r="129" spans="1:14" x14ac:dyDescent="0.25">
      <c r="A129" s="47"/>
      <c r="B129" s="49"/>
      <c r="C129" s="49"/>
      <c r="D129" s="49"/>
      <c r="E129" s="47" t="s">
        <v>143</v>
      </c>
      <c r="F129" s="48">
        <v>-19.22</v>
      </c>
      <c r="G129" s="48">
        <v>-272.18000000000006</v>
      </c>
      <c r="H129" s="47"/>
      <c r="I129" s="49"/>
      <c r="J129" s="49"/>
      <c r="L129" s="47" t="s">
        <v>138</v>
      </c>
      <c r="M129" s="49">
        <v>0</v>
      </c>
      <c r="N129" s="48">
        <v>42</v>
      </c>
    </row>
    <row r="130" spans="1:14" x14ac:dyDescent="0.25">
      <c r="A130" s="47"/>
      <c r="B130" s="49"/>
      <c r="C130" s="49"/>
      <c r="D130" s="49"/>
      <c r="E130" s="47" t="s">
        <v>144</v>
      </c>
      <c r="F130" s="49">
        <v>0</v>
      </c>
      <c r="G130" s="49">
        <v>0</v>
      </c>
      <c r="H130" s="47"/>
      <c r="I130" s="49"/>
      <c r="J130" s="49"/>
      <c r="L130" s="47" t="s">
        <v>136</v>
      </c>
      <c r="M130" s="49">
        <v>0</v>
      </c>
      <c r="N130" s="48">
        <v>203</v>
      </c>
    </row>
    <row r="131" spans="1:14" x14ac:dyDescent="0.25">
      <c r="A131" s="47"/>
      <c r="B131" s="49"/>
      <c r="C131" s="49"/>
      <c r="D131" s="49"/>
      <c r="E131" s="47" t="s">
        <v>137</v>
      </c>
      <c r="F131" s="48">
        <v>-22.77</v>
      </c>
      <c r="G131" s="48">
        <v>-218.57999999999998</v>
      </c>
      <c r="H131" s="47"/>
      <c r="I131" s="49"/>
      <c r="J131" s="49"/>
      <c r="L131" s="47" t="s">
        <v>135</v>
      </c>
      <c r="M131" s="49">
        <v>0</v>
      </c>
      <c r="N131" s="48">
        <v>7</v>
      </c>
    </row>
    <row r="132" spans="1:14" x14ac:dyDescent="0.25">
      <c r="A132" s="47"/>
      <c r="B132" s="49"/>
      <c r="C132" s="49"/>
      <c r="D132" s="49"/>
      <c r="E132" s="47" t="s">
        <v>133</v>
      </c>
      <c r="F132" s="48">
        <v>-11.93</v>
      </c>
      <c r="G132" s="48">
        <v>-168.94</v>
      </c>
      <c r="H132" s="47"/>
      <c r="I132" s="49"/>
      <c r="J132" s="49"/>
      <c r="L132" s="47"/>
      <c r="M132" s="49"/>
      <c r="N132" s="49"/>
    </row>
    <row r="133" spans="1:14" ht="15" customHeight="1" x14ac:dyDescent="0.25">
      <c r="A133" s="53" t="s">
        <v>289</v>
      </c>
      <c r="B133" s="51">
        <f>SUM(B126:B132)</f>
        <v>85.49</v>
      </c>
      <c r="C133" s="51">
        <f>SUM(C126:C132)</f>
        <v>1325.6299999999999</v>
      </c>
      <c r="D133" s="51">
        <f>SUM(D126:D132)</f>
        <v>18770.89</v>
      </c>
      <c r="E133" s="53" t="s">
        <v>290</v>
      </c>
      <c r="F133" s="51">
        <f>SUM(F126:F132)</f>
        <v>-257.11</v>
      </c>
      <c r="G133" s="51">
        <f>SUM(G126:G132)</f>
        <v>-3103.5000000000005</v>
      </c>
      <c r="H133" s="53" t="s">
        <v>291</v>
      </c>
      <c r="I133" s="52">
        <f>SUM(I126:I132)</f>
        <v>0</v>
      </c>
      <c r="J133" s="52">
        <f>SUM(J126:J132)</f>
        <v>0</v>
      </c>
      <c r="K133" s="54"/>
      <c r="L133" s="53" t="s">
        <v>292</v>
      </c>
      <c r="M133" s="51">
        <f>SUM(M126:M132)</f>
        <v>101.41</v>
      </c>
      <c r="N133" s="51">
        <f>SUM(N126:N132)</f>
        <v>1687.9800000000002</v>
      </c>
    </row>
    <row r="134" spans="1:14" ht="19.95" customHeight="1" x14ac:dyDescent="0.25">
      <c r="H134" s="53" t="s">
        <v>293</v>
      </c>
      <c r="I134" s="51">
        <f>C133+F133+I133</f>
        <v>1068.52</v>
      </c>
      <c r="J134" s="51">
        <f>D133+G133+J133</f>
        <v>15667.39</v>
      </c>
    </row>
    <row r="135" spans="1:14" ht="15" customHeight="1" x14ac:dyDescent="0.25">
      <c r="A135" s="40" t="s">
        <v>244</v>
      </c>
      <c r="B135" s="41"/>
      <c r="C135" s="41"/>
      <c r="D135" s="40" t="s">
        <v>318</v>
      </c>
      <c r="E135" s="41"/>
      <c r="F135" s="41"/>
      <c r="G135" s="41"/>
      <c r="H135" s="41"/>
      <c r="I135" s="42" t="s">
        <v>319</v>
      </c>
      <c r="J135" s="43"/>
      <c r="K135" s="39"/>
      <c r="L135" s="38"/>
      <c r="M135" s="38"/>
      <c r="N135" s="38"/>
    </row>
    <row r="136" spans="1:14" x14ac:dyDescent="0.25">
      <c r="A136" s="45" t="s">
        <v>284</v>
      </c>
      <c r="B136" s="44" t="s">
        <v>125</v>
      </c>
      <c r="C136" s="44" t="s">
        <v>285</v>
      </c>
      <c r="D136" s="44" t="s">
        <v>286</v>
      </c>
      <c r="E136" s="45" t="s">
        <v>287</v>
      </c>
      <c r="F136" s="44" t="s">
        <v>285</v>
      </c>
      <c r="G136" s="44" t="s">
        <v>286</v>
      </c>
      <c r="H136" s="45" t="s">
        <v>288</v>
      </c>
      <c r="I136" s="44" t="s">
        <v>285</v>
      </c>
      <c r="J136" s="44" t="s">
        <v>286</v>
      </c>
      <c r="K136" s="46"/>
      <c r="L136" s="45" t="s">
        <v>288</v>
      </c>
      <c r="M136" s="44" t="s">
        <v>285</v>
      </c>
      <c r="N136" s="44" t="s">
        <v>286</v>
      </c>
    </row>
    <row r="137" spans="1:14" x14ac:dyDescent="0.25">
      <c r="A137" s="47" t="s">
        <v>141</v>
      </c>
      <c r="B137" s="48">
        <v>21.88</v>
      </c>
      <c r="C137" s="48">
        <v>284.44</v>
      </c>
      <c r="D137" s="48">
        <v>10410.920000000002</v>
      </c>
      <c r="E137" s="47" t="s">
        <v>140</v>
      </c>
      <c r="F137" s="49">
        <v>0</v>
      </c>
      <c r="G137" s="48">
        <v>-136</v>
      </c>
      <c r="H137" s="47"/>
      <c r="I137" s="49"/>
      <c r="J137" s="49"/>
      <c r="L137" s="47" t="s">
        <v>146</v>
      </c>
      <c r="M137" s="48">
        <v>17.63</v>
      </c>
      <c r="N137" s="48">
        <v>646.12</v>
      </c>
    </row>
    <row r="138" spans="1:14" x14ac:dyDescent="0.25">
      <c r="A138" s="47" t="s">
        <v>145</v>
      </c>
      <c r="B138" s="49">
        <v>0</v>
      </c>
      <c r="C138" s="49">
        <v>0</v>
      </c>
      <c r="D138" s="48">
        <v>10.41</v>
      </c>
      <c r="E138" s="47" t="s">
        <v>147</v>
      </c>
      <c r="F138" s="48">
        <v>-17.63</v>
      </c>
      <c r="G138" s="48">
        <v>-646.12</v>
      </c>
      <c r="H138" s="47"/>
      <c r="I138" s="49"/>
      <c r="J138" s="49"/>
      <c r="L138" s="47" t="s">
        <v>142</v>
      </c>
      <c r="M138" s="48">
        <v>4.13</v>
      </c>
      <c r="N138" s="48">
        <v>151.11000000000001</v>
      </c>
    </row>
    <row r="139" spans="1:14" x14ac:dyDescent="0.25">
      <c r="A139" s="47"/>
      <c r="B139" s="49"/>
      <c r="C139" s="49"/>
      <c r="D139" s="49"/>
      <c r="E139" s="47" t="s">
        <v>143</v>
      </c>
      <c r="F139" s="48">
        <v>-4.13</v>
      </c>
      <c r="G139" s="48">
        <v>-151.11000000000001</v>
      </c>
      <c r="H139" s="47"/>
      <c r="I139" s="49"/>
      <c r="J139" s="49"/>
      <c r="L139" s="47" t="s">
        <v>138</v>
      </c>
      <c r="M139" s="49">
        <v>0</v>
      </c>
      <c r="N139" s="48">
        <v>42</v>
      </c>
    </row>
    <row r="140" spans="1:14" x14ac:dyDescent="0.25">
      <c r="A140" s="47"/>
      <c r="B140" s="49"/>
      <c r="C140" s="49"/>
      <c r="D140" s="49"/>
      <c r="E140" s="47" t="s">
        <v>144</v>
      </c>
      <c r="F140" s="49">
        <v>0</v>
      </c>
      <c r="G140" s="49">
        <v>0</v>
      </c>
      <c r="H140" s="47"/>
      <c r="I140" s="49"/>
      <c r="J140" s="49"/>
      <c r="L140" s="47" t="s">
        <v>136</v>
      </c>
      <c r="M140" s="49">
        <v>0</v>
      </c>
      <c r="N140" s="48">
        <v>203</v>
      </c>
    </row>
    <row r="141" spans="1:14" x14ac:dyDescent="0.25">
      <c r="A141" s="47"/>
      <c r="B141" s="49"/>
      <c r="C141" s="49"/>
      <c r="D141" s="49"/>
      <c r="E141" s="47" t="s">
        <v>137</v>
      </c>
      <c r="F141" s="49">
        <v>0</v>
      </c>
      <c r="G141" s="49">
        <v>0</v>
      </c>
      <c r="H141" s="47"/>
      <c r="I141" s="49"/>
      <c r="J141" s="49"/>
      <c r="L141" s="47" t="s">
        <v>135</v>
      </c>
      <c r="M141" s="49">
        <v>0</v>
      </c>
      <c r="N141" s="48">
        <v>7</v>
      </c>
    </row>
    <row r="142" spans="1:14" x14ac:dyDescent="0.25">
      <c r="A142" s="47"/>
      <c r="B142" s="49"/>
      <c r="C142" s="49"/>
      <c r="D142" s="49"/>
      <c r="E142" s="47" t="s">
        <v>133</v>
      </c>
      <c r="F142" s="48">
        <v>-2.56</v>
      </c>
      <c r="G142" s="48">
        <v>-93.789999999999978</v>
      </c>
      <c r="H142" s="47"/>
      <c r="I142" s="49"/>
      <c r="J142" s="49"/>
      <c r="L142" s="47"/>
      <c r="M142" s="49"/>
      <c r="N142" s="49"/>
    </row>
    <row r="143" spans="1:14" ht="15" customHeight="1" x14ac:dyDescent="0.25">
      <c r="A143" s="53" t="s">
        <v>289</v>
      </c>
      <c r="B143" s="51">
        <f>SUM(B136:B142)</f>
        <v>21.88</v>
      </c>
      <c r="C143" s="51">
        <f>SUM(C136:C142)</f>
        <v>284.44</v>
      </c>
      <c r="D143" s="51">
        <f>SUM(D136:D142)</f>
        <v>10421.330000000002</v>
      </c>
      <c r="E143" s="53" t="s">
        <v>290</v>
      </c>
      <c r="F143" s="51">
        <f>SUM(F136:F142)</f>
        <v>-24.319999999999997</v>
      </c>
      <c r="G143" s="51">
        <f>SUM(G136:G142)</f>
        <v>-1027.02</v>
      </c>
      <c r="H143" s="53" t="s">
        <v>291</v>
      </c>
      <c r="I143" s="52">
        <f>SUM(I136:I142)</f>
        <v>0</v>
      </c>
      <c r="J143" s="52">
        <f>SUM(J136:J142)</f>
        <v>0</v>
      </c>
      <c r="K143" s="54"/>
      <c r="L143" s="53" t="s">
        <v>292</v>
      </c>
      <c r="M143" s="51">
        <f>SUM(M136:M142)</f>
        <v>21.759999999999998</v>
      </c>
      <c r="N143" s="51">
        <f>SUM(N136:N142)</f>
        <v>1049.23</v>
      </c>
    </row>
    <row r="144" spans="1:14" ht="19.95" customHeight="1" x14ac:dyDescent="0.25">
      <c r="H144" s="53" t="s">
        <v>293</v>
      </c>
      <c r="I144" s="51">
        <f>C143+F143+I143</f>
        <v>260.12</v>
      </c>
      <c r="J144" s="51">
        <f>D143+G143+J143</f>
        <v>9394.3100000000013</v>
      </c>
    </row>
    <row r="145" spans="1:14" ht="15" customHeight="1" x14ac:dyDescent="0.25">
      <c r="A145" s="40" t="s">
        <v>270</v>
      </c>
      <c r="B145" s="41"/>
      <c r="C145" s="41"/>
      <c r="D145" s="40" t="s">
        <v>320</v>
      </c>
      <c r="E145" s="41"/>
      <c r="F145" s="41"/>
      <c r="G145" s="41"/>
      <c r="H145" s="41"/>
      <c r="I145" s="42" t="s">
        <v>321</v>
      </c>
      <c r="J145" s="43"/>
      <c r="K145" s="39"/>
      <c r="L145" s="38"/>
      <c r="M145" s="38"/>
      <c r="N145" s="38"/>
    </row>
    <row r="146" spans="1:14" x14ac:dyDescent="0.25">
      <c r="A146" s="45" t="s">
        <v>284</v>
      </c>
      <c r="B146" s="44" t="s">
        <v>125</v>
      </c>
      <c r="C146" s="44" t="s">
        <v>285</v>
      </c>
      <c r="D146" s="44" t="s">
        <v>286</v>
      </c>
      <c r="E146" s="45" t="s">
        <v>287</v>
      </c>
      <c r="F146" s="44" t="s">
        <v>285</v>
      </c>
      <c r="G146" s="44" t="s">
        <v>286</v>
      </c>
      <c r="H146" s="45" t="s">
        <v>288</v>
      </c>
      <c r="I146" s="44" t="s">
        <v>285</v>
      </c>
      <c r="J146" s="44" t="s">
        <v>286</v>
      </c>
      <c r="K146" s="46"/>
      <c r="L146" s="45" t="s">
        <v>288</v>
      </c>
      <c r="M146" s="44" t="s">
        <v>285</v>
      </c>
      <c r="N146" s="44" t="s">
        <v>286</v>
      </c>
    </row>
    <row r="147" spans="1:14" x14ac:dyDescent="0.25">
      <c r="A147" s="47" t="s">
        <v>141</v>
      </c>
      <c r="B147" s="48">
        <v>61.95</v>
      </c>
      <c r="C147" s="48">
        <v>712.43</v>
      </c>
      <c r="D147" s="48">
        <v>1574.9299999999998</v>
      </c>
      <c r="E147" s="47" t="s">
        <v>140</v>
      </c>
      <c r="F147" s="48">
        <v>-3</v>
      </c>
      <c r="G147" s="48">
        <v>-3</v>
      </c>
      <c r="H147" s="47"/>
      <c r="I147" s="49"/>
      <c r="J147" s="49"/>
      <c r="L147" s="47" t="s">
        <v>146</v>
      </c>
      <c r="M147" s="48">
        <v>61.39</v>
      </c>
      <c r="N147" s="48">
        <v>116.66</v>
      </c>
    </row>
    <row r="148" spans="1:14" x14ac:dyDescent="0.25">
      <c r="A148" s="47" t="s">
        <v>145</v>
      </c>
      <c r="B148" s="48">
        <v>16.100000000000001</v>
      </c>
      <c r="C148" s="48">
        <v>277.73</v>
      </c>
      <c r="D148" s="48">
        <v>306.71000000000004</v>
      </c>
      <c r="E148" s="47" t="s">
        <v>147</v>
      </c>
      <c r="F148" s="48">
        <v>-61.39</v>
      </c>
      <c r="G148" s="48">
        <v>-116.66</v>
      </c>
      <c r="H148" s="47"/>
      <c r="I148" s="49"/>
      <c r="J148" s="49"/>
      <c r="L148" s="47" t="s">
        <v>142</v>
      </c>
      <c r="M148" s="48">
        <v>14.35</v>
      </c>
      <c r="N148" s="48">
        <v>27.28</v>
      </c>
    </row>
    <row r="149" spans="1:14" x14ac:dyDescent="0.25">
      <c r="A149" s="47"/>
      <c r="B149" s="49"/>
      <c r="C149" s="49"/>
      <c r="D149" s="49"/>
      <c r="E149" s="47" t="s">
        <v>143</v>
      </c>
      <c r="F149" s="48">
        <v>-14.35</v>
      </c>
      <c r="G149" s="48">
        <v>-27.28</v>
      </c>
      <c r="H149" s="47"/>
      <c r="I149" s="49"/>
      <c r="J149" s="49"/>
      <c r="L149" s="47" t="s">
        <v>138</v>
      </c>
      <c r="M149" s="48">
        <v>5.94</v>
      </c>
      <c r="N149" s="48">
        <v>11.29</v>
      </c>
    </row>
    <row r="150" spans="1:14" x14ac:dyDescent="0.25">
      <c r="A150" s="47"/>
      <c r="B150" s="49"/>
      <c r="C150" s="49"/>
      <c r="D150" s="49"/>
      <c r="E150" s="47" t="s">
        <v>144</v>
      </c>
      <c r="F150" s="49">
        <v>0</v>
      </c>
      <c r="G150" s="49">
        <v>0</v>
      </c>
      <c r="H150" s="47"/>
      <c r="I150" s="49"/>
      <c r="J150" s="49"/>
      <c r="L150" s="47" t="s">
        <v>136</v>
      </c>
      <c r="M150" s="48">
        <v>28.72</v>
      </c>
      <c r="N150" s="48">
        <v>54.57</v>
      </c>
    </row>
    <row r="151" spans="1:14" x14ac:dyDescent="0.25">
      <c r="A151" s="47"/>
      <c r="B151" s="49"/>
      <c r="C151" s="49"/>
      <c r="D151" s="49"/>
      <c r="E151" s="47" t="s">
        <v>137</v>
      </c>
      <c r="F151" s="49">
        <v>0</v>
      </c>
      <c r="G151" s="49">
        <v>0</v>
      </c>
      <c r="H151" s="47"/>
      <c r="I151" s="49"/>
      <c r="J151" s="49"/>
      <c r="L151" s="47" t="s">
        <v>135</v>
      </c>
      <c r="M151" s="48">
        <v>0.99</v>
      </c>
      <c r="N151" s="48">
        <v>1.88</v>
      </c>
    </row>
    <row r="152" spans="1:14" x14ac:dyDescent="0.25">
      <c r="A152" s="47"/>
      <c r="B152" s="49"/>
      <c r="C152" s="49"/>
      <c r="D152" s="49"/>
      <c r="E152" s="47" t="s">
        <v>133</v>
      </c>
      <c r="F152" s="48">
        <v>-8.91</v>
      </c>
      <c r="G152" s="48">
        <v>-16.93</v>
      </c>
      <c r="H152" s="47"/>
      <c r="I152" s="49"/>
      <c r="J152" s="49"/>
      <c r="L152" s="47"/>
      <c r="M152" s="49"/>
      <c r="N152" s="49"/>
    </row>
    <row r="153" spans="1:14" ht="15" customHeight="1" x14ac:dyDescent="0.25">
      <c r="A153" s="53" t="s">
        <v>289</v>
      </c>
      <c r="B153" s="51">
        <f>SUM(B146:B152)</f>
        <v>78.050000000000011</v>
      </c>
      <c r="C153" s="51">
        <f>SUM(C146:C152)</f>
        <v>990.16</v>
      </c>
      <c r="D153" s="51">
        <f>SUM(D146:D152)</f>
        <v>1881.6399999999999</v>
      </c>
      <c r="E153" s="53" t="s">
        <v>290</v>
      </c>
      <c r="F153" s="51">
        <f>SUM(F146:F152)</f>
        <v>-87.649999999999991</v>
      </c>
      <c r="G153" s="51">
        <f>SUM(G146:G152)</f>
        <v>-163.87</v>
      </c>
      <c r="H153" s="53" t="s">
        <v>291</v>
      </c>
      <c r="I153" s="52">
        <f>SUM(I146:I152)</f>
        <v>0</v>
      </c>
      <c r="J153" s="52">
        <f>SUM(J146:J152)</f>
        <v>0</v>
      </c>
      <c r="K153" s="54"/>
      <c r="L153" s="53" t="s">
        <v>292</v>
      </c>
      <c r="M153" s="51">
        <f>SUM(M146:M152)</f>
        <v>111.38999999999999</v>
      </c>
      <c r="N153" s="51">
        <f>SUM(N146:N152)</f>
        <v>211.67999999999998</v>
      </c>
    </row>
    <row r="154" spans="1:14" ht="19.95" customHeight="1" x14ac:dyDescent="0.25">
      <c r="H154" s="53" t="s">
        <v>293</v>
      </c>
      <c r="I154" s="51">
        <f>C153+F153+I153</f>
        <v>902.51</v>
      </c>
      <c r="J154" s="51">
        <f>D153+G153+J153</f>
        <v>1717.77</v>
      </c>
    </row>
    <row r="155" spans="1:14" ht="15" customHeight="1" x14ac:dyDescent="0.25">
      <c r="A155" s="40" t="s">
        <v>172</v>
      </c>
      <c r="B155" s="41"/>
      <c r="C155" s="41"/>
      <c r="D155" s="40" t="s">
        <v>322</v>
      </c>
      <c r="E155" s="41"/>
      <c r="F155" s="41"/>
      <c r="G155" s="41"/>
      <c r="H155" s="41"/>
      <c r="I155" s="42" t="s">
        <v>323</v>
      </c>
      <c r="J155" s="43"/>
      <c r="K155" s="39"/>
      <c r="L155" s="38"/>
      <c r="M155" s="38"/>
      <c r="N155" s="38"/>
    </row>
    <row r="156" spans="1:14" x14ac:dyDescent="0.25">
      <c r="A156" s="45" t="s">
        <v>284</v>
      </c>
      <c r="B156" s="44" t="s">
        <v>125</v>
      </c>
      <c r="C156" s="44" t="s">
        <v>285</v>
      </c>
      <c r="D156" s="44" t="s">
        <v>286</v>
      </c>
      <c r="E156" s="45" t="s">
        <v>287</v>
      </c>
      <c r="F156" s="44" t="s">
        <v>285</v>
      </c>
      <c r="G156" s="44" t="s">
        <v>286</v>
      </c>
      <c r="H156" s="45" t="s">
        <v>288</v>
      </c>
      <c r="I156" s="44" t="s">
        <v>285</v>
      </c>
      <c r="J156" s="44" t="s">
        <v>286</v>
      </c>
      <c r="K156" s="46"/>
      <c r="L156" s="45" t="s">
        <v>288</v>
      </c>
      <c r="M156" s="44" t="s">
        <v>285</v>
      </c>
      <c r="N156" s="44" t="s">
        <v>286</v>
      </c>
    </row>
    <row r="157" spans="1:14" x14ac:dyDescent="0.25">
      <c r="A157" s="47" t="s">
        <v>141</v>
      </c>
      <c r="B157" s="48">
        <v>59.67</v>
      </c>
      <c r="C157" s="48">
        <v>865.22</v>
      </c>
      <c r="D157" s="48">
        <v>15996.739999999998</v>
      </c>
      <c r="E157" s="47" t="s">
        <v>140</v>
      </c>
      <c r="F157" s="48">
        <v>-38</v>
      </c>
      <c r="G157" s="48">
        <v>-786</v>
      </c>
      <c r="H157" s="47"/>
      <c r="I157" s="49"/>
      <c r="J157" s="49"/>
      <c r="L157" s="47" t="s">
        <v>146</v>
      </c>
      <c r="M157" s="48">
        <v>53.64</v>
      </c>
      <c r="N157" s="48">
        <v>1032.42</v>
      </c>
    </row>
    <row r="158" spans="1:14" x14ac:dyDescent="0.25">
      <c r="A158" s="47" t="s">
        <v>250</v>
      </c>
      <c r="B158" s="49">
        <v>0</v>
      </c>
      <c r="C158" s="49">
        <v>0</v>
      </c>
      <c r="D158" s="48">
        <v>348</v>
      </c>
      <c r="E158" s="47" t="s">
        <v>147</v>
      </c>
      <c r="F158" s="48">
        <v>-53.64</v>
      </c>
      <c r="G158" s="48">
        <v>-1032.42</v>
      </c>
      <c r="H158" s="47"/>
      <c r="I158" s="49"/>
      <c r="J158" s="49"/>
      <c r="L158" s="47" t="s">
        <v>142</v>
      </c>
      <c r="M158" s="48">
        <v>12.54</v>
      </c>
      <c r="N158" s="48">
        <v>241.45000000000002</v>
      </c>
    </row>
    <row r="159" spans="1:14" x14ac:dyDescent="0.25">
      <c r="A159" s="47" t="s">
        <v>255</v>
      </c>
      <c r="B159" s="49">
        <v>0</v>
      </c>
      <c r="C159" s="49">
        <v>0</v>
      </c>
      <c r="D159" s="48">
        <v>307.26</v>
      </c>
      <c r="E159" s="47" t="s">
        <v>143</v>
      </c>
      <c r="F159" s="48">
        <v>-12.54</v>
      </c>
      <c r="G159" s="48">
        <v>-241.45000000000002</v>
      </c>
      <c r="H159" s="47"/>
      <c r="I159" s="49"/>
      <c r="J159" s="49"/>
      <c r="L159" s="47" t="s">
        <v>138</v>
      </c>
      <c r="M159" s="49">
        <v>0</v>
      </c>
      <c r="N159" s="48">
        <v>42</v>
      </c>
    </row>
    <row r="160" spans="1:14" x14ac:dyDescent="0.25">
      <c r="A160" s="47"/>
      <c r="B160" s="49"/>
      <c r="C160" s="49"/>
      <c r="D160" s="49"/>
      <c r="E160" s="47" t="s">
        <v>144</v>
      </c>
      <c r="F160" s="49">
        <v>0</v>
      </c>
      <c r="G160" s="49">
        <v>0</v>
      </c>
      <c r="H160" s="47"/>
      <c r="I160" s="49"/>
      <c r="J160" s="49"/>
      <c r="L160" s="47" t="s">
        <v>136</v>
      </c>
      <c r="M160" s="49">
        <v>0</v>
      </c>
      <c r="N160" s="48">
        <v>202.99999999999997</v>
      </c>
    </row>
    <row r="161" spans="1:14" x14ac:dyDescent="0.25">
      <c r="A161" s="47"/>
      <c r="B161" s="49"/>
      <c r="C161" s="49"/>
      <c r="D161" s="49"/>
      <c r="E161" s="47" t="s">
        <v>137</v>
      </c>
      <c r="F161" s="48">
        <v>-4.0599999999999996</v>
      </c>
      <c r="G161" s="48">
        <v>-96.95</v>
      </c>
      <c r="H161" s="47"/>
      <c r="I161" s="49"/>
      <c r="J161" s="49"/>
      <c r="L161" s="47" t="s">
        <v>135</v>
      </c>
      <c r="M161" s="49">
        <v>0</v>
      </c>
      <c r="N161" s="48">
        <v>7.0000000000000009</v>
      </c>
    </row>
    <row r="162" spans="1:14" x14ac:dyDescent="0.25">
      <c r="A162" s="47"/>
      <c r="B162" s="49"/>
      <c r="C162" s="49"/>
      <c r="D162" s="49"/>
      <c r="E162" s="47" t="s">
        <v>133</v>
      </c>
      <c r="F162" s="48">
        <v>-7.79</v>
      </c>
      <c r="G162" s="48">
        <v>-149.87</v>
      </c>
      <c r="H162" s="47"/>
      <c r="I162" s="49"/>
      <c r="J162" s="49"/>
      <c r="L162" s="47"/>
      <c r="M162" s="49"/>
      <c r="N162" s="49"/>
    </row>
    <row r="163" spans="1:14" ht="15" customHeight="1" x14ac:dyDescent="0.25">
      <c r="A163" s="53" t="s">
        <v>289</v>
      </c>
      <c r="B163" s="51">
        <f>SUM(B156:B162)</f>
        <v>59.67</v>
      </c>
      <c r="C163" s="51">
        <f>SUM(C156:C162)</f>
        <v>865.22</v>
      </c>
      <c r="D163" s="51">
        <f>SUM(D156:D162)</f>
        <v>16651.999999999996</v>
      </c>
      <c r="E163" s="53" t="s">
        <v>290</v>
      </c>
      <c r="F163" s="51">
        <f>SUM(F156:F162)</f>
        <v>-116.03000000000002</v>
      </c>
      <c r="G163" s="51">
        <f>SUM(G156:G162)</f>
        <v>-2306.6899999999996</v>
      </c>
      <c r="H163" s="53" t="s">
        <v>291</v>
      </c>
      <c r="I163" s="52">
        <f>SUM(I156:I162)</f>
        <v>0</v>
      </c>
      <c r="J163" s="52">
        <f>SUM(J156:J162)</f>
        <v>0</v>
      </c>
      <c r="K163" s="54"/>
      <c r="L163" s="53" t="s">
        <v>292</v>
      </c>
      <c r="M163" s="51">
        <f>SUM(M156:M162)</f>
        <v>66.180000000000007</v>
      </c>
      <c r="N163" s="51">
        <f>SUM(N156:N162)</f>
        <v>1525.8700000000001</v>
      </c>
    </row>
    <row r="164" spans="1:14" ht="19.95" customHeight="1" x14ac:dyDescent="0.25">
      <c r="H164" s="53" t="s">
        <v>293</v>
      </c>
      <c r="I164" s="51">
        <f>C163+F163+I163</f>
        <v>749.19</v>
      </c>
      <c r="J164" s="51">
        <f>D163+G163+J163</f>
        <v>14345.309999999998</v>
      </c>
    </row>
    <row r="165" spans="1:14" ht="15" customHeight="1" x14ac:dyDescent="0.25">
      <c r="A165" s="40" t="s">
        <v>274</v>
      </c>
      <c r="B165" s="41"/>
      <c r="C165" s="41"/>
      <c r="D165" s="40" t="s">
        <v>324</v>
      </c>
      <c r="E165" s="41"/>
      <c r="F165" s="41"/>
      <c r="G165" s="41"/>
      <c r="H165" s="41"/>
      <c r="I165" s="42" t="s">
        <v>325</v>
      </c>
      <c r="J165" s="43"/>
      <c r="K165" s="39"/>
      <c r="L165" s="38"/>
      <c r="M165" s="38"/>
      <c r="N165" s="38"/>
    </row>
    <row r="166" spans="1:14" x14ac:dyDescent="0.25">
      <c r="A166" s="45" t="s">
        <v>284</v>
      </c>
      <c r="B166" s="44" t="s">
        <v>125</v>
      </c>
      <c r="C166" s="44" t="s">
        <v>285</v>
      </c>
      <c r="D166" s="44" t="s">
        <v>286</v>
      </c>
      <c r="E166" s="45" t="s">
        <v>287</v>
      </c>
      <c r="F166" s="44" t="s">
        <v>285</v>
      </c>
      <c r="G166" s="44" t="s">
        <v>286</v>
      </c>
      <c r="H166" s="45" t="s">
        <v>288</v>
      </c>
      <c r="I166" s="44" t="s">
        <v>285</v>
      </c>
      <c r="J166" s="44" t="s">
        <v>286</v>
      </c>
      <c r="K166" s="46"/>
      <c r="L166" s="45" t="s">
        <v>288</v>
      </c>
      <c r="M166" s="44" t="s">
        <v>285</v>
      </c>
      <c r="N166" s="44" t="s">
        <v>286</v>
      </c>
    </row>
    <row r="167" spans="1:14" x14ac:dyDescent="0.25">
      <c r="A167" s="47" t="s">
        <v>141</v>
      </c>
      <c r="B167" s="48">
        <v>46.75</v>
      </c>
      <c r="C167" s="48">
        <v>537.63</v>
      </c>
      <c r="D167" s="48">
        <v>537.63</v>
      </c>
      <c r="E167" s="47" t="s">
        <v>140</v>
      </c>
      <c r="F167" s="48">
        <v>-29</v>
      </c>
      <c r="G167" s="48">
        <v>-29</v>
      </c>
      <c r="H167" s="47"/>
      <c r="I167" s="49"/>
      <c r="J167" s="49"/>
      <c r="L167" s="47" t="s">
        <v>146</v>
      </c>
      <c r="M167" s="48">
        <v>33.33</v>
      </c>
      <c r="N167" s="48">
        <v>33.33</v>
      </c>
    </row>
    <row r="168" spans="1:14" x14ac:dyDescent="0.25">
      <c r="A168" s="47"/>
      <c r="B168" s="49"/>
      <c r="C168" s="49"/>
      <c r="D168" s="49"/>
      <c r="E168" s="47" t="s">
        <v>147</v>
      </c>
      <c r="F168" s="48">
        <v>-33.33</v>
      </c>
      <c r="G168" s="48">
        <v>-33.33</v>
      </c>
      <c r="H168" s="47"/>
      <c r="I168" s="49"/>
      <c r="J168" s="49"/>
      <c r="L168" s="47" t="s">
        <v>142</v>
      </c>
      <c r="M168" s="48">
        <v>7.8</v>
      </c>
      <c r="N168" s="48">
        <v>7.8</v>
      </c>
    </row>
    <row r="169" spans="1:14" x14ac:dyDescent="0.25">
      <c r="A169" s="47"/>
      <c r="B169" s="49"/>
      <c r="C169" s="49"/>
      <c r="D169" s="49"/>
      <c r="E169" s="47" t="s">
        <v>143</v>
      </c>
      <c r="F169" s="48">
        <v>-7.8</v>
      </c>
      <c r="G169" s="48">
        <v>-7.8</v>
      </c>
      <c r="H169" s="47"/>
      <c r="I169" s="49"/>
      <c r="J169" s="49"/>
      <c r="L169" s="47" t="s">
        <v>138</v>
      </c>
      <c r="M169" s="48">
        <v>3.23</v>
      </c>
      <c r="N169" s="48">
        <v>3.23</v>
      </c>
    </row>
    <row r="170" spans="1:14" x14ac:dyDescent="0.25">
      <c r="A170" s="47"/>
      <c r="B170" s="49"/>
      <c r="C170" s="49"/>
      <c r="D170" s="49"/>
      <c r="E170" s="47" t="s">
        <v>144</v>
      </c>
      <c r="F170" s="49">
        <v>0</v>
      </c>
      <c r="G170" s="49">
        <v>0</v>
      </c>
      <c r="H170" s="47"/>
      <c r="I170" s="49"/>
      <c r="J170" s="49"/>
      <c r="L170" s="47" t="s">
        <v>136</v>
      </c>
      <c r="M170" s="48">
        <v>15.59</v>
      </c>
      <c r="N170" s="48">
        <v>15.59</v>
      </c>
    </row>
    <row r="171" spans="1:14" x14ac:dyDescent="0.25">
      <c r="A171" s="47"/>
      <c r="B171" s="49"/>
      <c r="C171" s="49"/>
      <c r="D171" s="49"/>
      <c r="E171" s="47" t="s">
        <v>137</v>
      </c>
      <c r="F171" s="48">
        <v>-0.25</v>
      </c>
      <c r="G171" s="48">
        <v>-0.25</v>
      </c>
      <c r="H171" s="47"/>
      <c r="I171" s="49"/>
      <c r="J171" s="49"/>
      <c r="L171" s="47" t="s">
        <v>135</v>
      </c>
      <c r="M171" s="48">
        <v>0.54</v>
      </c>
      <c r="N171" s="48">
        <v>0.54</v>
      </c>
    </row>
    <row r="172" spans="1:14" x14ac:dyDescent="0.25">
      <c r="A172" s="47"/>
      <c r="B172" s="49"/>
      <c r="C172" s="49"/>
      <c r="D172" s="49"/>
      <c r="E172" s="47" t="s">
        <v>133</v>
      </c>
      <c r="F172" s="48">
        <v>-4.84</v>
      </c>
      <c r="G172" s="48">
        <v>-4.84</v>
      </c>
      <c r="H172" s="47"/>
      <c r="I172" s="49"/>
      <c r="J172" s="49"/>
      <c r="L172" s="47"/>
      <c r="M172" s="49"/>
      <c r="N172" s="49"/>
    </row>
    <row r="173" spans="1:14" ht="15" customHeight="1" x14ac:dyDescent="0.25">
      <c r="A173" s="53" t="s">
        <v>289</v>
      </c>
      <c r="B173" s="51">
        <f>SUM(B166:B172)</f>
        <v>46.75</v>
      </c>
      <c r="C173" s="51">
        <f>SUM(C166:C172)</f>
        <v>537.63</v>
      </c>
      <c r="D173" s="51">
        <f>SUM(D166:D172)</f>
        <v>537.63</v>
      </c>
      <c r="E173" s="53" t="s">
        <v>290</v>
      </c>
      <c r="F173" s="51">
        <f>SUM(F166:F172)</f>
        <v>-75.22</v>
      </c>
      <c r="G173" s="51">
        <f>SUM(G166:G172)</f>
        <v>-75.22</v>
      </c>
      <c r="H173" s="53" t="s">
        <v>291</v>
      </c>
      <c r="I173" s="52">
        <f>SUM(I166:I172)</f>
        <v>0</v>
      </c>
      <c r="J173" s="52">
        <f>SUM(J166:J172)</f>
        <v>0</v>
      </c>
      <c r="K173" s="54"/>
      <c r="L173" s="53" t="s">
        <v>292</v>
      </c>
      <c r="M173" s="51">
        <f>SUM(M166:M172)</f>
        <v>60.489999999999988</v>
      </c>
      <c r="N173" s="51">
        <f>SUM(N166:N172)</f>
        <v>60.489999999999988</v>
      </c>
    </row>
    <row r="174" spans="1:14" ht="19.95" customHeight="1" x14ac:dyDescent="0.25">
      <c r="H174" s="53" t="s">
        <v>293</v>
      </c>
      <c r="I174" s="51">
        <f>C173+F173+I173</f>
        <v>462.40999999999997</v>
      </c>
      <c r="J174" s="51">
        <f>D173+G173+J173</f>
        <v>462.40999999999997</v>
      </c>
    </row>
    <row r="175" spans="1:14" ht="15" customHeight="1" x14ac:dyDescent="0.25">
      <c r="A175" s="40" t="s">
        <v>174</v>
      </c>
      <c r="B175" s="41"/>
      <c r="C175" s="41"/>
      <c r="D175" s="40" t="s">
        <v>326</v>
      </c>
      <c r="E175" s="41"/>
      <c r="F175" s="41"/>
      <c r="G175" s="41"/>
      <c r="H175" s="41"/>
      <c r="I175" s="42" t="s">
        <v>327</v>
      </c>
      <c r="J175" s="43"/>
      <c r="K175" s="39"/>
      <c r="L175" s="38"/>
      <c r="M175" s="38"/>
      <c r="N175" s="38"/>
    </row>
    <row r="176" spans="1:14" x14ac:dyDescent="0.25">
      <c r="A176" s="45" t="s">
        <v>284</v>
      </c>
      <c r="B176" s="44" t="s">
        <v>125</v>
      </c>
      <c r="C176" s="44" t="s">
        <v>285</v>
      </c>
      <c r="D176" s="44" t="s">
        <v>286</v>
      </c>
      <c r="E176" s="45" t="s">
        <v>287</v>
      </c>
      <c r="F176" s="44" t="s">
        <v>285</v>
      </c>
      <c r="G176" s="44" t="s">
        <v>286</v>
      </c>
      <c r="H176" s="45" t="s">
        <v>288</v>
      </c>
      <c r="I176" s="44" t="s">
        <v>285</v>
      </c>
      <c r="J176" s="44" t="s">
        <v>286</v>
      </c>
      <c r="K176" s="46"/>
      <c r="L176" s="45" t="s">
        <v>288</v>
      </c>
      <c r="M176" s="44" t="s">
        <v>285</v>
      </c>
      <c r="N176" s="44" t="s">
        <v>286</v>
      </c>
    </row>
    <row r="177" spans="1:14" x14ac:dyDescent="0.25">
      <c r="A177" s="47" t="s">
        <v>141</v>
      </c>
      <c r="B177" s="48">
        <v>34.700000000000003</v>
      </c>
      <c r="C177" s="48">
        <v>347</v>
      </c>
      <c r="D177" s="48">
        <v>5836.2</v>
      </c>
      <c r="E177" s="47" t="s">
        <v>140</v>
      </c>
      <c r="F177" s="48">
        <v>-10</v>
      </c>
      <c r="G177" s="48">
        <v>-161</v>
      </c>
      <c r="H177" s="47"/>
      <c r="I177" s="49"/>
      <c r="J177" s="49"/>
      <c r="L177" s="47" t="s">
        <v>146</v>
      </c>
      <c r="M177" s="48">
        <v>21.51</v>
      </c>
      <c r="N177" s="48">
        <v>368.04</v>
      </c>
    </row>
    <row r="178" spans="1:14" x14ac:dyDescent="0.25">
      <c r="A178" s="47" t="s">
        <v>250</v>
      </c>
      <c r="B178" s="49">
        <v>0</v>
      </c>
      <c r="C178" s="49">
        <v>0</v>
      </c>
      <c r="D178" s="48">
        <v>100</v>
      </c>
      <c r="E178" s="47" t="s">
        <v>147</v>
      </c>
      <c r="F178" s="48">
        <v>-21.51</v>
      </c>
      <c r="G178" s="48">
        <v>-368.04</v>
      </c>
      <c r="H178" s="47"/>
      <c r="I178" s="49"/>
      <c r="J178" s="49"/>
      <c r="L178" s="47" t="s">
        <v>142</v>
      </c>
      <c r="M178" s="48">
        <v>5.03</v>
      </c>
      <c r="N178" s="48">
        <v>86.070000000000007</v>
      </c>
    </row>
    <row r="179" spans="1:14" x14ac:dyDescent="0.25">
      <c r="A179" s="47" t="s">
        <v>145</v>
      </c>
      <c r="B179" s="49">
        <v>0</v>
      </c>
      <c r="C179" s="49">
        <v>0</v>
      </c>
      <c r="D179" s="49">
        <v>0</v>
      </c>
      <c r="E179" s="47" t="s">
        <v>143</v>
      </c>
      <c r="F179" s="48">
        <v>-5.03</v>
      </c>
      <c r="G179" s="48">
        <v>-86.070000000000007</v>
      </c>
      <c r="H179" s="47"/>
      <c r="I179" s="49"/>
      <c r="J179" s="49"/>
      <c r="L179" s="47" t="s">
        <v>138</v>
      </c>
      <c r="M179" s="48">
        <v>2.08</v>
      </c>
      <c r="N179" s="48">
        <v>35.619999999999997</v>
      </c>
    </row>
    <row r="180" spans="1:14" x14ac:dyDescent="0.25">
      <c r="A180" s="47"/>
      <c r="B180" s="49"/>
      <c r="C180" s="49"/>
      <c r="D180" s="49"/>
      <c r="E180" s="47" t="s">
        <v>144</v>
      </c>
      <c r="F180" s="49">
        <v>0</v>
      </c>
      <c r="G180" s="49">
        <v>0</v>
      </c>
      <c r="H180" s="47"/>
      <c r="I180" s="49"/>
      <c r="J180" s="49"/>
      <c r="L180" s="47" t="s">
        <v>136</v>
      </c>
      <c r="M180" s="48">
        <v>10.06</v>
      </c>
      <c r="N180" s="48">
        <v>172.14999999999998</v>
      </c>
    </row>
    <row r="181" spans="1:14" x14ac:dyDescent="0.25">
      <c r="A181" s="47"/>
      <c r="B181" s="49"/>
      <c r="C181" s="49"/>
      <c r="D181" s="49"/>
      <c r="E181" s="47" t="s">
        <v>137</v>
      </c>
      <c r="F181" s="49">
        <v>0</v>
      </c>
      <c r="G181" s="49">
        <v>0</v>
      </c>
      <c r="H181" s="47"/>
      <c r="I181" s="49"/>
      <c r="J181" s="49"/>
      <c r="L181" s="47" t="s">
        <v>135</v>
      </c>
      <c r="M181" s="48">
        <v>0.35</v>
      </c>
      <c r="N181" s="48">
        <v>5.9399999999999995</v>
      </c>
    </row>
    <row r="182" spans="1:14" x14ac:dyDescent="0.25">
      <c r="A182" s="47"/>
      <c r="B182" s="49"/>
      <c r="C182" s="49"/>
      <c r="D182" s="49"/>
      <c r="E182" s="47" t="s">
        <v>133</v>
      </c>
      <c r="F182" s="48">
        <v>-3.13</v>
      </c>
      <c r="G182" s="48">
        <v>-53.43</v>
      </c>
      <c r="H182" s="47"/>
      <c r="I182" s="49"/>
      <c r="J182" s="49"/>
      <c r="L182" s="47"/>
      <c r="M182" s="49"/>
      <c r="N182" s="49"/>
    </row>
    <row r="183" spans="1:14" ht="15" customHeight="1" x14ac:dyDescent="0.25">
      <c r="A183" s="53" t="s">
        <v>289</v>
      </c>
      <c r="B183" s="51">
        <f>SUM(B176:B182)</f>
        <v>34.700000000000003</v>
      </c>
      <c r="C183" s="51">
        <f>SUM(C176:C182)</f>
        <v>347</v>
      </c>
      <c r="D183" s="51">
        <f>SUM(D176:D182)</f>
        <v>5936.2</v>
      </c>
      <c r="E183" s="53" t="s">
        <v>290</v>
      </c>
      <c r="F183" s="51">
        <f>SUM(F176:F182)</f>
        <v>-39.67</v>
      </c>
      <c r="G183" s="51">
        <f>SUM(G176:G182)</f>
        <v>-668.54</v>
      </c>
      <c r="H183" s="53" t="s">
        <v>291</v>
      </c>
      <c r="I183" s="52">
        <f>SUM(I176:I182)</f>
        <v>0</v>
      </c>
      <c r="J183" s="52">
        <f>SUM(J176:J182)</f>
        <v>0</v>
      </c>
      <c r="K183" s="54"/>
      <c r="L183" s="53" t="s">
        <v>292</v>
      </c>
      <c r="M183" s="51">
        <f>SUM(M176:M182)</f>
        <v>39.030000000000008</v>
      </c>
      <c r="N183" s="51">
        <f>SUM(N176:N182)</f>
        <v>667.82</v>
      </c>
    </row>
    <row r="184" spans="1:14" ht="19.95" customHeight="1" x14ac:dyDescent="0.25">
      <c r="H184" s="53" t="s">
        <v>293</v>
      </c>
      <c r="I184" s="51">
        <f>C183+F183+I183</f>
        <v>307.33</v>
      </c>
      <c r="J184" s="51">
        <f>D183+G183+J183</f>
        <v>5267.66</v>
      </c>
    </row>
    <row r="185" spans="1:14" ht="15" customHeight="1" x14ac:dyDescent="0.25">
      <c r="A185" s="40" t="s">
        <v>260</v>
      </c>
      <c r="B185" s="41"/>
      <c r="C185" s="41"/>
      <c r="D185" s="40" t="s">
        <v>328</v>
      </c>
      <c r="E185" s="41"/>
      <c r="F185" s="41"/>
      <c r="G185" s="41"/>
      <c r="H185" s="41"/>
      <c r="I185" s="42" t="s">
        <v>329</v>
      </c>
      <c r="J185" s="43"/>
      <c r="K185" s="39"/>
      <c r="L185" s="38"/>
      <c r="M185" s="38"/>
      <c r="N185" s="38"/>
    </row>
    <row r="186" spans="1:14" x14ac:dyDescent="0.25">
      <c r="A186" s="45" t="s">
        <v>284</v>
      </c>
      <c r="B186" s="44" t="s">
        <v>125</v>
      </c>
      <c r="C186" s="44" t="s">
        <v>285</v>
      </c>
      <c r="D186" s="44" t="s">
        <v>286</v>
      </c>
      <c r="E186" s="45" t="s">
        <v>287</v>
      </c>
      <c r="F186" s="44" t="s">
        <v>285</v>
      </c>
      <c r="G186" s="44" t="s">
        <v>286</v>
      </c>
      <c r="H186" s="45" t="s">
        <v>288</v>
      </c>
      <c r="I186" s="44" t="s">
        <v>285</v>
      </c>
      <c r="J186" s="44" t="s">
        <v>286</v>
      </c>
      <c r="K186" s="46"/>
      <c r="L186" s="45" t="s">
        <v>288</v>
      </c>
      <c r="M186" s="44" t="s">
        <v>285</v>
      </c>
      <c r="N186" s="44" t="s">
        <v>286</v>
      </c>
    </row>
    <row r="187" spans="1:14" x14ac:dyDescent="0.25">
      <c r="A187" s="47" t="s">
        <v>141</v>
      </c>
      <c r="B187" s="48">
        <v>30.27</v>
      </c>
      <c r="C187" s="48">
        <v>332.97</v>
      </c>
      <c r="D187" s="48">
        <v>1734.3700000000001</v>
      </c>
      <c r="E187" s="47" t="s">
        <v>140</v>
      </c>
      <c r="F187" s="48">
        <v>-22</v>
      </c>
      <c r="G187" s="48">
        <v>-130</v>
      </c>
      <c r="H187" s="47"/>
      <c r="I187" s="49"/>
      <c r="J187" s="49"/>
      <c r="L187" s="47" t="s">
        <v>146</v>
      </c>
      <c r="M187" s="48">
        <v>18.98</v>
      </c>
      <c r="N187" s="48">
        <v>107.53000000000002</v>
      </c>
    </row>
    <row r="188" spans="1:14" x14ac:dyDescent="0.25">
      <c r="A188" s="47" t="s">
        <v>145</v>
      </c>
      <c r="B188" s="49">
        <v>0</v>
      </c>
      <c r="C188" s="49">
        <v>0</v>
      </c>
      <c r="D188" s="49">
        <v>0</v>
      </c>
      <c r="E188" s="47" t="s">
        <v>147</v>
      </c>
      <c r="F188" s="48">
        <v>-18.98</v>
      </c>
      <c r="G188" s="48">
        <v>-107.53000000000002</v>
      </c>
      <c r="H188" s="47"/>
      <c r="I188" s="49"/>
      <c r="J188" s="49"/>
      <c r="L188" s="47" t="s">
        <v>142</v>
      </c>
      <c r="M188" s="48">
        <v>4.4400000000000004</v>
      </c>
      <c r="N188" s="48">
        <v>25.150000000000002</v>
      </c>
    </row>
    <row r="189" spans="1:14" x14ac:dyDescent="0.25">
      <c r="A189" s="47" t="s">
        <v>253</v>
      </c>
      <c r="B189" s="48">
        <v>-2.44</v>
      </c>
      <c r="C189" s="48">
        <v>-26.84</v>
      </c>
      <c r="D189" s="49">
        <v>0</v>
      </c>
      <c r="E189" s="47" t="s">
        <v>143</v>
      </c>
      <c r="F189" s="48">
        <v>-4.4400000000000004</v>
      </c>
      <c r="G189" s="48">
        <v>-25.150000000000002</v>
      </c>
      <c r="H189" s="47"/>
      <c r="I189" s="49"/>
      <c r="J189" s="49"/>
      <c r="L189" s="47" t="s">
        <v>138</v>
      </c>
      <c r="M189" s="48">
        <v>1.84</v>
      </c>
      <c r="N189" s="48">
        <v>10.41</v>
      </c>
    </row>
    <row r="190" spans="1:14" x14ac:dyDescent="0.25">
      <c r="A190" s="47"/>
      <c r="B190" s="49"/>
      <c r="C190" s="49"/>
      <c r="D190" s="49"/>
      <c r="E190" s="47" t="s">
        <v>144</v>
      </c>
      <c r="F190" s="49">
        <v>0</v>
      </c>
      <c r="G190" s="49">
        <v>0</v>
      </c>
      <c r="H190" s="47"/>
      <c r="I190" s="49"/>
      <c r="J190" s="49"/>
      <c r="L190" s="47" t="s">
        <v>136</v>
      </c>
      <c r="M190" s="48">
        <v>8.8800000000000008</v>
      </c>
      <c r="N190" s="48">
        <v>50.300000000000004</v>
      </c>
    </row>
    <row r="191" spans="1:14" x14ac:dyDescent="0.25">
      <c r="A191" s="47"/>
      <c r="B191" s="49"/>
      <c r="C191" s="49"/>
      <c r="D191" s="49"/>
      <c r="E191" s="47" t="s">
        <v>137</v>
      </c>
      <c r="F191" s="49">
        <v>0</v>
      </c>
      <c r="G191" s="49">
        <v>0</v>
      </c>
      <c r="H191" s="47"/>
      <c r="I191" s="49"/>
      <c r="J191" s="49"/>
      <c r="L191" s="47" t="s">
        <v>135</v>
      </c>
      <c r="M191" s="48">
        <v>0.3</v>
      </c>
      <c r="N191" s="48">
        <v>1.7300000000000002</v>
      </c>
    </row>
    <row r="192" spans="1:14" x14ac:dyDescent="0.25">
      <c r="A192" s="47"/>
      <c r="B192" s="49"/>
      <c r="C192" s="49"/>
      <c r="D192" s="49"/>
      <c r="E192" s="47" t="s">
        <v>133</v>
      </c>
      <c r="F192" s="48">
        <v>-2.76</v>
      </c>
      <c r="G192" s="48">
        <v>-15.61</v>
      </c>
      <c r="H192" s="47"/>
      <c r="I192" s="49"/>
      <c r="J192" s="49"/>
      <c r="L192" s="47"/>
      <c r="M192" s="49"/>
      <c r="N192" s="49"/>
    </row>
    <row r="193" spans="1:14" ht="15" customHeight="1" x14ac:dyDescent="0.25">
      <c r="A193" s="53" t="s">
        <v>289</v>
      </c>
      <c r="B193" s="51">
        <f>SUM(B186:B192)</f>
        <v>27.83</v>
      </c>
      <c r="C193" s="51">
        <f>SUM(C186:C192)</f>
        <v>306.13000000000005</v>
      </c>
      <c r="D193" s="51">
        <f>SUM(D186:D192)</f>
        <v>1734.3700000000001</v>
      </c>
      <c r="E193" s="53" t="s">
        <v>290</v>
      </c>
      <c r="F193" s="51">
        <f>SUM(F186:F192)</f>
        <v>-48.18</v>
      </c>
      <c r="G193" s="51">
        <f>SUM(G186:G192)</f>
        <v>-278.29000000000002</v>
      </c>
      <c r="H193" s="53" t="s">
        <v>291</v>
      </c>
      <c r="I193" s="52">
        <f>SUM(I186:I192)</f>
        <v>0</v>
      </c>
      <c r="J193" s="52">
        <f>SUM(J186:J192)</f>
        <v>0</v>
      </c>
      <c r="K193" s="54"/>
      <c r="L193" s="53" t="s">
        <v>292</v>
      </c>
      <c r="M193" s="51">
        <f>SUM(M186:M192)</f>
        <v>34.44</v>
      </c>
      <c r="N193" s="51">
        <f>SUM(N186:N192)</f>
        <v>195.12</v>
      </c>
    </row>
    <row r="194" spans="1:14" ht="19.95" customHeight="1" x14ac:dyDescent="0.25">
      <c r="H194" s="53" t="s">
        <v>293</v>
      </c>
      <c r="I194" s="51">
        <f>C193+F193+I193</f>
        <v>257.95000000000005</v>
      </c>
      <c r="J194" s="51">
        <f>D193+G193+J193</f>
        <v>1456.0800000000002</v>
      </c>
    </row>
    <row r="195" spans="1:14" ht="15" customHeight="1" x14ac:dyDescent="0.25">
      <c r="A195" s="40" t="s">
        <v>176</v>
      </c>
      <c r="B195" s="41"/>
      <c r="C195" s="41"/>
      <c r="D195" s="40" t="s">
        <v>330</v>
      </c>
      <c r="E195" s="41"/>
      <c r="F195" s="41"/>
      <c r="G195" s="41"/>
      <c r="H195" s="41"/>
      <c r="I195" s="42" t="s">
        <v>331</v>
      </c>
      <c r="J195" s="43"/>
      <c r="K195" s="39"/>
      <c r="L195" s="38"/>
      <c r="M195" s="38"/>
      <c r="N195" s="38"/>
    </row>
    <row r="196" spans="1:14" x14ac:dyDescent="0.25">
      <c r="A196" s="45" t="s">
        <v>284</v>
      </c>
      <c r="B196" s="44" t="s">
        <v>125</v>
      </c>
      <c r="C196" s="44" t="s">
        <v>285</v>
      </c>
      <c r="D196" s="44" t="s">
        <v>286</v>
      </c>
      <c r="E196" s="45" t="s">
        <v>287</v>
      </c>
      <c r="F196" s="44" t="s">
        <v>285</v>
      </c>
      <c r="G196" s="44" t="s">
        <v>286</v>
      </c>
      <c r="H196" s="45" t="s">
        <v>288</v>
      </c>
      <c r="I196" s="44" t="s">
        <v>285</v>
      </c>
      <c r="J196" s="44" t="s">
        <v>286</v>
      </c>
      <c r="K196" s="46"/>
      <c r="L196" s="45" t="s">
        <v>288</v>
      </c>
      <c r="M196" s="44" t="s">
        <v>285</v>
      </c>
      <c r="N196" s="44" t="s">
        <v>286</v>
      </c>
    </row>
    <row r="197" spans="1:14" x14ac:dyDescent="0.25">
      <c r="A197" s="47" t="s">
        <v>141</v>
      </c>
      <c r="B197" s="48">
        <v>80</v>
      </c>
      <c r="C197" s="48">
        <v>1360</v>
      </c>
      <c r="D197" s="48">
        <v>22670.350000000002</v>
      </c>
      <c r="E197" s="47" t="s">
        <v>140</v>
      </c>
      <c r="F197" s="48">
        <v>-150</v>
      </c>
      <c r="G197" s="48">
        <v>-1566</v>
      </c>
      <c r="H197" s="47" t="s">
        <v>130</v>
      </c>
      <c r="I197" s="48">
        <v>-100</v>
      </c>
      <c r="J197" s="48">
        <v>1200</v>
      </c>
      <c r="L197" s="47" t="s">
        <v>146</v>
      </c>
      <c r="M197" s="48">
        <v>126.59</v>
      </c>
      <c r="N197" s="48">
        <v>1812.6499999999996</v>
      </c>
    </row>
    <row r="198" spans="1:14" x14ac:dyDescent="0.25">
      <c r="A198" s="47" t="s">
        <v>145</v>
      </c>
      <c r="B198" s="48">
        <v>26.73</v>
      </c>
      <c r="C198" s="48">
        <v>681.62</v>
      </c>
      <c r="D198" s="48">
        <v>5940.26</v>
      </c>
      <c r="E198" s="47" t="s">
        <v>147</v>
      </c>
      <c r="F198" s="48">
        <v>-126.59</v>
      </c>
      <c r="G198" s="48">
        <v>-1812.6499999999996</v>
      </c>
      <c r="H198" s="47"/>
      <c r="I198" s="49"/>
      <c r="J198" s="49"/>
      <c r="L198" s="47" t="s">
        <v>142</v>
      </c>
      <c r="M198" s="48">
        <v>29.61</v>
      </c>
      <c r="N198" s="48">
        <v>423.93</v>
      </c>
    </row>
    <row r="199" spans="1:14" x14ac:dyDescent="0.25">
      <c r="A199" s="47" t="s">
        <v>253</v>
      </c>
      <c r="B199" s="49">
        <v>0</v>
      </c>
      <c r="C199" s="49">
        <v>0</v>
      </c>
      <c r="D199" s="48">
        <v>625.6</v>
      </c>
      <c r="E199" s="47" t="s">
        <v>143</v>
      </c>
      <c r="F199" s="48">
        <v>-29.61</v>
      </c>
      <c r="G199" s="48">
        <v>-423.93</v>
      </c>
      <c r="H199" s="47"/>
      <c r="I199" s="49"/>
      <c r="J199" s="49"/>
      <c r="L199" s="47" t="s">
        <v>138</v>
      </c>
      <c r="M199" s="49">
        <v>0</v>
      </c>
      <c r="N199" s="48">
        <v>42</v>
      </c>
    </row>
    <row r="200" spans="1:14" x14ac:dyDescent="0.25">
      <c r="A200" s="47"/>
      <c r="B200" s="49"/>
      <c r="C200" s="49"/>
      <c r="D200" s="49"/>
      <c r="E200" s="47" t="s">
        <v>144</v>
      </c>
      <c r="F200" s="49">
        <v>0</v>
      </c>
      <c r="G200" s="49">
        <v>0</v>
      </c>
      <c r="H200" s="47"/>
      <c r="I200" s="49"/>
      <c r="J200" s="49"/>
      <c r="L200" s="47" t="s">
        <v>136</v>
      </c>
      <c r="M200" s="49">
        <v>0</v>
      </c>
      <c r="N200" s="48">
        <v>203</v>
      </c>
    </row>
    <row r="201" spans="1:14" x14ac:dyDescent="0.25">
      <c r="A201" s="47"/>
      <c r="B201" s="49"/>
      <c r="C201" s="49"/>
      <c r="D201" s="49"/>
      <c r="E201" s="47" t="s">
        <v>137</v>
      </c>
      <c r="F201" s="48">
        <v>-76.23</v>
      </c>
      <c r="G201" s="48">
        <v>-760.37000000000012</v>
      </c>
      <c r="H201" s="47"/>
      <c r="I201" s="49"/>
      <c r="J201" s="49"/>
      <c r="L201" s="47" t="s">
        <v>135</v>
      </c>
      <c r="M201" s="49">
        <v>0</v>
      </c>
      <c r="N201" s="48">
        <v>7</v>
      </c>
    </row>
    <row r="202" spans="1:14" x14ac:dyDescent="0.25">
      <c r="A202" s="47"/>
      <c r="B202" s="49"/>
      <c r="C202" s="49"/>
      <c r="D202" s="49"/>
      <c r="E202" s="47" t="s">
        <v>133</v>
      </c>
      <c r="F202" s="48">
        <v>-18.38</v>
      </c>
      <c r="G202" s="48">
        <v>-263.13</v>
      </c>
      <c r="H202" s="47"/>
      <c r="I202" s="49"/>
      <c r="J202" s="49"/>
      <c r="L202" s="47"/>
      <c r="M202" s="49"/>
      <c r="N202" s="49"/>
    </row>
    <row r="203" spans="1:14" ht="15" customHeight="1" x14ac:dyDescent="0.25">
      <c r="A203" s="53" t="s">
        <v>289</v>
      </c>
      <c r="B203" s="51">
        <f>SUM(B196:B202)</f>
        <v>106.73</v>
      </c>
      <c r="C203" s="51">
        <f>SUM(C196:C202)</f>
        <v>2041.62</v>
      </c>
      <c r="D203" s="51">
        <f>SUM(D196:D202)</f>
        <v>29236.21</v>
      </c>
      <c r="E203" s="53" t="s">
        <v>290</v>
      </c>
      <c r="F203" s="51">
        <f>SUM(F196:F202)</f>
        <v>-400.81000000000006</v>
      </c>
      <c r="G203" s="51">
        <f>SUM(G196:G202)</f>
        <v>-4826.08</v>
      </c>
      <c r="H203" s="53" t="s">
        <v>291</v>
      </c>
      <c r="I203" s="51">
        <f>SUM(I196:I202)</f>
        <v>-100</v>
      </c>
      <c r="J203" s="51">
        <f>SUM(J196:J202)</f>
        <v>1200</v>
      </c>
      <c r="K203" s="54"/>
      <c r="L203" s="53" t="s">
        <v>292</v>
      </c>
      <c r="M203" s="51">
        <f>SUM(M196:M202)</f>
        <v>156.19999999999999</v>
      </c>
      <c r="N203" s="51">
        <f>SUM(N196:N202)</f>
        <v>2488.5799999999995</v>
      </c>
    </row>
    <row r="204" spans="1:14" ht="19.95" customHeight="1" x14ac:dyDescent="0.25">
      <c r="H204" s="53" t="s">
        <v>293</v>
      </c>
      <c r="I204" s="51">
        <f>C203+F203+I203</f>
        <v>1540.81</v>
      </c>
      <c r="J204" s="51">
        <f>D203+G203+J203</f>
        <v>25610.129999999997</v>
      </c>
    </row>
    <row r="205" spans="1:14" ht="15" customHeight="1" x14ac:dyDescent="0.25">
      <c r="A205" s="40" t="s">
        <v>246</v>
      </c>
      <c r="B205" s="41"/>
      <c r="C205" s="41"/>
      <c r="D205" s="40" t="s">
        <v>332</v>
      </c>
      <c r="E205" s="41"/>
      <c r="F205" s="41"/>
      <c r="G205" s="41"/>
      <c r="H205" s="41"/>
      <c r="I205" s="42" t="s">
        <v>333</v>
      </c>
      <c r="J205" s="43"/>
      <c r="K205" s="39"/>
      <c r="L205" s="38"/>
      <c r="M205" s="38"/>
      <c r="N205" s="38"/>
    </row>
    <row r="206" spans="1:14" x14ac:dyDescent="0.25">
      <c r="A206" s="45" t="s">
        <v>284</v>
      </c>
      <c r="B206" s="44" t="s">
        <v>125</v>
      </c>
      <c r="C206" s="44" t="s">
        <v>285</v>
      </c>
      <c r="D206" s="44" t="s">
        <v>286</v>
      </c>
      <c r="E206" s="45" t="s">
        <v>287</v>
      </c>
      <c r="F206" s="44" t="s">
        <v>285</v>
      </c>
      <c r="G206" s="44" t="s">
        <v>286</v>
      </c>
      <c r="H206" s="45" t="s">
        <v>288</v>
      </c>
      <c r="I206" s="44" t="s">
        <v>285</v>
      </c>
      <c r="J206" s="44" t="s">
        <v>286</v>
      </c>
      <c r="K206" s="46"/>
      <c r="L206" s="45" t="s">
        <v>288</v>
      </c>
      <c r="M206" s="44" t="s">
        <v>285</v>
      </c>
      <c r="N206" s="44" t="s">
        <v>286</v>
      </c>
    </row>
    <row r="207" spans="1:14" x14ac:dyDescent="0.25">
      <c r="A207" s="47" t="s">
        <v>141</v>
      </c>
      <c r="B207" s="48">
        <v>37.659999999999997</v>
      </c>
      <c r="C207" s="48">
        <v>414.26</v>
      </c>
      <c r="D207" s="48">
        <v>6439.5100000000011</v>
      </c>
      <c r="E207" s="47" t="s">
        <v>140</v>
      </c>
      <c r="F207" s="49">
        <v>0</v>
      </c>
      <c r="G207" s="49">
        <v>0</v>
      </c>
      <c r="H207" s="47"/>
      <c r="I207" s="49"/>
      <c r="J207" s="49"/>
      <c r="L207" s="47" t="s">
        <v>146</v>
      </c>
      <c r="M207" s="48">
        <v>25.86</v>
      </c>
      <c r="N207" s="48">
        <v>399.92</v>
      </c>
    </row>
    <row r="208" spans="1:14" x14ac:dyDescent="0.25">
      <c r="A208" s="47" t="s">
        <v>145</v>
      </c>
      <c r="B208" s="48">
        <v>0.17</v>
      </c>
      <c r="C208" s="48">
        <v>2.81</v>
      </c>
      <c r="D208" s="48">
        <v>10.74</v>
      </c>
      <c r="E208" s="47" t="s">
        <v>147</v>
      </c>
      <c r="F208" s="48">
        <v>-25.86</v>
      </c>
      <c r="G208" s="48">
        <v>-399.92</v>
      </c>
      <c r="H208" s="47"/>
      <c r="I208" s="49"/>
      <c r="J208" s="49"/>
      <c r="L208" s="47" t="s">
        <v>142</v>
      </c>
      <c r="M208" s="48">
        <v>6.05</v>
      </c>
      <c r="N208" s="48">
        <v>93.53</v>
      </c>
    </row>
    <row r="209" spans="1:14" x14ac:dyDescent="0.25">
      <c r="A209" s="47"/>
      <c r="B209" s="49"/>
      <c r="C209" s="49"/>
      <c r="D209" s="49"/>
      <c r="E209" s="47" t="s">
        <v>143</v>
      </c>
      <c r="F209" s="48">
        <v>-6.05</v>
      </c>
      <c r="G209" s="48">
        <v>-93.53</v>
      </c>
      <c r="H209" s="47"/>
      <c r="I209" s="49"/>
      <c r="J209" s="49"/>
      <c r="L209" s="47" t="s">
        <v>138</v>
      </c>
      <c r="M209" s="48">
        <v>2.5</v>
      </c>
      <c r="N209" s="48">
        <v>38.700000000000003</v>
      </c>
    </row>
    <row r="210" spans="1:14" x14ac:dyDescent="0.25">
      <c r="A210" s="47"/>
      <c r="B210" s="49"/>
      <c r="C210" s="49"/>
      <c r="D210" s="49"/>
      <c r="E210" s="47" t="s">
        <v>144</v>
      </c>
      <c r="F210" s="49">
        <v>0</v>
      </c>
      <c r="G210" s="49">
        <v>0</v>
      </c>
      <c r="H210" s="47"/>
      <c r="I210" s="49"/>
      <c r="J210" s="49"/>
      <c r="L210" s="47" t="s">
        <v>136</v>
      </c>
      <c r="M210" s="48">
        <v>12.1</v>
      </c>
      <c r="N210" s="48">
        <v>187.05999999999997</v>
      </c>
    </row>
    <row r="211" spans="1:14" x14ac:dyDescent="0.25">
      <c r="A211" s="47"/>
      <c r="B211" s="49"/>
      <c r="C211" s="49"/>
      <c r="D211" s="49"/>
      <c r="E211" s="47" t="s">
        <v>137</v>
      </c>
      <c r="F211" s="49">
        <v>0</v>
      </c>
      <c r="G211" s="49">
        <v>0</v>
      </c>
      <c r="H211" s="47"/>
      <c r="I211" s="49"/>
      <c r="J211" s="49"/>
      <c r="L211" s="47" t="s">
        <v>135</v>
      </c>
      <c r="M211" s="48">
        <v>0.42</v>
      </c>
      <c r="N211" s="48">
        <v>6.4500000000000011</v>
      </c>
    </row>
    <row r="212" spans="1:14" x14ac:dyDescent="0.25">
      <c r="A212" s="47"/>
      <c r="B212" s="49"/>
      <c r="C212" s="49"/>
      <c r="D212" s="49"/>
      <c r="E212" s="47" t="s">
        <v>133</v>
      </c>
      <c r="F212" s="48">
        <v>-3.75</v>
      </c>
      <c r="G212" s="48">
        <v>-58.050000000000004</v>
      </c>
      <c r="H212" s="47"/>
      <c r="I212" s="49"/>
      <c r="J212" s="49"/>
      <c r="L212" s="47"/>
      <c r="M212" s="49"/>
      <c r="N212" s="49"/>
    </row>
    <row r="213" spans="1:14" ht="15" customHeight="1" x14ac:dyDescent="0.25">
      <c r="A213" s="53" t="s">
        <v>289</v>
      </c>
      <c r="B213" s="51">
        <f>SUM(B206:B212)</f>
        <v>37.83</v>
      </c>
      <c r="C213" s="51">
        <f>SUM(C206:C212)</f>
        <v>417.07</v>
      </c>
      <c r="D213" s="51">
        <f>SUM(D206:D212)</f>
        <v>6450.2500000000009</v>
      </c>
      <c r="E213" s="53" t="s">
        <v>290</v>
      </c>
      <c r="F213" s="51">
        <f>SUM(F206:F212)</f>
        <v>-35.659999999999997</v>
      </c>
      <c r="G213" s="51">
        <f>SUM(G206:G212)</f>
        <v>-551.5</v>
      </c>
      <c r="H213" s="53" t="s">
        <v>291</v>
      </c>
      <c r="I213" s="52">
        <f>SUM(I206:I212)</f>
        <v>0</v>
      </c>
      <c r="J213" s="52">
        <f>SUM(J206:J212)</f>
        <v>0</v>
      </c>
      <c r="K213" s="54"/>
      <c r="L213" s="53" t="s">
        <v>292</v>
      </c>
      <c r="M213" s="51">
        <f>SUM(M206:M212)</f>
        <v>46.93</v>
      </c>
      <c r="N213" s="51">
        <f>SUM(N206:N212)</f>
        <v>725.66000000000008</v>
      </c>
    </row>
    <row r="214" spans="1:14" ht="19.95" customHeight="1" x14ac:dyDescent="0.25">
      <c r="H214" s="53" t="s">
        <v>293</v>
      </c>
      <c r="I214" s="51">
        <f>C213+F213+I213</f>
        <v>381.40999999999997</v>
      </c>
      <c r="J214" s="51">
        <f>D213+G213+J213</f>
        <v>5898.7500000000009</v>
      </c>
    </row>
    <row r="215" spans="1:14" ht="15" customHeight="1" x14ac:dyDescent="0.25">
      <c r="A215" s="40" t="s">
        <v>262</v>
      </c>
      <c r="B215" s="41"/>
      <c r="C215" s="41"/>
      <c r="D215" s="40" t="s">
        <v>334</v>
      </c>
      <c r="E215" s="41"/>
      <c r="F215" s="41"/>
      <c r="G215" s="41"/>
      <c r="H215" s="41"/>
      <c r="I215" s="42" t="s">
        <v>335</v>
      </c>
      <c r="J215" s="43"/>
      <c r="K215" s="39"/>
      <c r="L215" s="38"/>
      <c r="M215" s="38"/>
      <c r="N215" s="38"/>
    </row>
    <row r="216" spans="1:14" x14ac:dyDescent="0.25">
      <c r="A216" s="45" t="s">
        <v>284</v>
      </c>
      <c r="B216" s="44" t="s">
        <v>125</v>
      </c>
      <c r="C216" s="44" t="s">
        <v>285</v>
      </c>
      <c r="D216" s="44" t="s">
        <v>286</v>
      </c>
      <c r="E216" s="45" t="s">
        <v>287</v>
      </c>
      <c r="F216" s="44" t="s">
        <v>285</v>
      </c>
      <c r="G216" s="44" t="s">
        <v>286</v>
      </c>
      <c r="H216" s="45" t="s">
        <v>288</v>
      </c>
      <c r="I216" s="44" t="s">
        <v>285</v>
      </c>
      <c r="J216" s="44" t="s">
        <v>286</v>
      </c>
      <c r="K216" s="46"/>
      <c r="L216" s="45" t="s">
        <v>288</v>
      </c>
      <c r="M216" s="44" t="s">
        <v>285</v>
      </c>
      <c r="N216" s="44" t="s">
        <v>286</v>
      </c>
    </row>
    <row r="217" spans="1:14" x14ac:dyDescent="0.25">
      <c r="A217" s="47" t="s">
        <v>141</v>
      </c>
      <c r="B217" s="48">
        <v>79.599999999999994</v>
      </c>
      <c r="C217" s="48">
        <v>875.6</v>
      </c>
      <c r="D217" s="48">
        <v>3936.0199999999995</v>
      </c>
      <c r="E217" s="47" t="s">
        <v>140</v>
      </c>
      <c r="F217" s="48">
        <v>-33</v>
      </c>
      <c r="G217" s="48">
        <v>-196</v>
      </c>
      <c r="H217" s="47"/>
      <c r="I217" s="49"/>
      <c r="J217" s="49"/>
      <c r="L217" s="47" t="s">
        <v>146</v>
      </c>
      <c r="M217" s="48">
        <v>54.97</v>
      </c>
      <c r="N217" s="48">
        <v>250.8</v>
      </c>
    </row>
    <row r="218" spans="1:14" x14ac:dyDescent="0.25">
      <c r="A218" s="47" t="s">
        <v>145</v>
      </c>
      <c r="B218" s="48">
        <v>0.66</v>
      </c>
      <c r="C218" s="48">
        <v>10.89</v>
      </c>
      <c r="D218" s="48">
        <v>109.07</v>
      </c>
      <c r="E218" s="47" t="s">
        <v>147</v>
      </c>
      <c r="F218" s="48">
        <v>-54.97</v>
      </c>
      <c r="G218" s="48">
        <v>-250.8</v>
      </c>
      <c r="H218" s="47"/>
      <c r="I218" s="49"/>
      <c r="J218" s="49"/>
      <c r="L218" s="47" t="s">
        <v>142</v>
      </c>
      <c r="M218" s="48">
        <v>12.85</v>
      </c>
      <c r="N218" s="48">
        <v>58.65</v>
      </c>
    </row>
    <row r="219" spans="1:14" x14ac:dyDescent="0.25">
      <c r="A219" s="47"/>
      <c r="B219" s="49"/>
      <c r="C219" s="49"/>
      <c r="D219" s="49"/>
      <c r="E219" s="47" t="s">
        <v>143</v>
      </c>
      <c r="F219" s="48">
        <v>-12.85</v>
      </c>
      <c r="G219" s="48">
        <v>-58.65</v>
      </c>
      <c r="H219" s="47"/>
      <c r="I219" s="49"/>
      <c r="J219" s="49"/>
      <c r="L219" s="47" t="s">
        <v>138</v>
      </c>
      <c r="M219" s="48">
        <v>5.32</v>
      </c>
      <c r="N219" s="48">
        <v>24.27</v>
      </c>
    </row>
    <row r="220" spans="1:14" x14ac:dyDescent="0.25">
      <c r="A220" s="47"/>
      <c r="B220" s="49"/>
      <c r="C220" s="49"/>
      <c r="D220" s="49"/>
      <c r="E220" s="47" t="s">
        <v>144</v>
      </c>
      <c r="F220" s="49">
        <v>0</v>
      </c>
      <c r="G220" s="49">
        <v>0</v>
      </c>
      <c r="H220" s="47"/>
      <c r="I220" s="49"/>
      <c r="J220" s="49"/>
      <c r="L220" s="47" t="s">
        <v>136</v>
      </c>
      <c r="M220" s="48">
        <v>25.71</v>
      </c>
      <c r="N220" s="48">
        <v>117.31</v>
      </c>
    </row>
    <row r="221" spans="1:14" x14ac:dyDescent="0.25">
      <c r="A221" s="47"/>
      <c r="B221" s="49"/>
      <c r="C221" s="49"/>
      <c r="D221" s="49"/>
      <c r="E221" s="47" t="s">
        <v>137</v>
      </c>
      <c r="F221" s="49">
        <v>0</v>
      </c>
      <c r="G221" s="48">
        <v>-13.14</v>
      </c>
      <c r="H221" s="47"/>
      <c r="I221" s="49"/>
      <c r="J221" s="49"/>
      <c r="L221" s="47" t="s">
        <v>135</v>
      </c>
      <c r="M221" s="48">
        <v>0.89</v>
      </c>
      <c r="N221" s="48">
        <v>4.05</v>
      </c>
    </row>
    <row r="222" spans="1:14" x14ac:dyDescent="0.25">
      <c r="A222" s="47"/>
      <c r="B222" s="49"/>
      <c r="C222" s="49"/>
      <c r="D222" s="49"/>
      <c r="E222" s="47" t="s">
        <v>133</v>
      </c>
      <c r="F222" s="48">
        <v>-7.98</v>
      </c>
      <c r="G222" s="48">
        <v>-36.409999999999997</v>
      </c>
      <c r="H222" s="47"/>
      <c r="I222" s="49"/>
      <c r="J222" s="49"/>
      <c r="L222" s="47"/>
      <c r="M222" s="49"/>
      <c r="N222" s="49"/>
    </row>
    <row r="223" spans="1:14" ht="15" customHeight="1" x14ac:dyDescent="0.25">
      <c r="A223" s="53" t="s">
        <v>289</v>
      </c>
      <c r="B223" s="51">
        <f>SUM(B216:B222)</f>
        <v>80.259999999999991</v>
      </c>
      <c r="C223" s="51">
        <f>SUM(C216:C222)</f>
        <v>886.49</v>
      </c>
      <c r="D223" s="51">
        <f>SUM(D216:D222)</f>
        <v>4045.0899999999997</v>
      </c>
      <c r="E223" s="53" t="s">
        <v>290</v>
      </c>
      <c r="F223" s="51">
        <f>SUM(F216:F222)</f>
        <v>-108.8</v>
      </c>
      <c r="G223" s="51">
        <f>SUM(G216:G222)</f>
        <v>-555</v>
      </c>
      <c r="H223" s="53" t="s">
        <v>291</v>
      </c>
      <c r="I223" s="52">
        <f>SUM(I216:I222)</f>
        <v>0</v>
      </c>
      <c r="J223" s="52">
        <f>SUM(J216:J222)</f>
        <v>0</v>
      </c>
      <c r="K223" s="54"/>
      <c r="L223" s="53" t="s">
        <v>292</v>
      </c>
      <c r="M223" s="51">
        <f>SUM(M216:M222)</f>
        <v>99.74</v>
      </c>
      <c r="N223" s="51">
        <f>SUM(N216:N222)</f>
        <v>455.08</v>
      </c>
    </row>
    <row r="224" spans="1:14" ht="19.95" customHeight="1" x14ac:dyDescent="0.25">
      <c r="H224" s="53" t="s">
        <v>293</v>
      </c>
      <c r="I224" s="51">
        <f>C223+F223+I223</f>
        <v>777.69</v>
      </c>
      <c r="J224" s="51">
        <f>D223+G223+J223</f>
        <v>3490.0899999999997</v>
      </c>
    </row>
    <row r="225" spans="1:14" ht="15" customHeight="1" x14ac:dyDescent="0.25">
      <c r="A225" s="40" t="s">
        <v>178</v>
      </c>
      <c r="B225" s="41"/>
      <c r="C225" s="41"/>
      <c r="D225" s="40" t="s">
        <v>336</v>
      </c>
      <c r="E225" s="41"/>
      <c r="F225" s="41"/>
      <c r="G225" s="41"/>
      <c r="H225" s="41"/>
      <c r="I225" s="42" t="s">
        <v>337</v>
      </c>
      <c r="J225" s="43"/>
      <c r="K225" s="39"/>
      <c r="L225" s="38"/>
      <c r="M225" s="38"/>
      <c r="N225" s="38"/>
    </row>
    <row r="226" spans="1:14" x14ac:dyDescent="0.25">
      <c r="A226" s="45" t="s">
        <v>284</v>
      </c>
      <c r="B226" s="44" t="s">
        <v>125</v>
      </c>
      <c r="C226" s="44" t="s">
        <v>285</v>
      </c>
      <c r="D226" s="44" t="s">
        <v>286</v>
      </c>
      <c r="E226" s="45" t="s">
        <v>287</v>
      </c>
      <c r="F226" s="44" t="s">
        <v>285</v>
      </c>
      <c r="G226" s="44" t="s">
        <v>286</v>
      </c>
      <c r="H226" s="45" t="s">
        <v>288</v>
      </c>
      <c r="I226" s="44" t="s">
        <v>285</v>
      </c>
      <c r="J226" s="44" t="s">
        <v>286</v>
      </c>
      <c r="K226" s="46"/>
      <c r="L226" s="45" t="s">
        <v>288</v>
      </c>
      <c r="M226" s="44" t="s">
        <v>285</v>
      </c>
      <c r="N226" s="44" t="s">
        <v>286</v>
      </c>
    </row>
    <row r="227" spans="1:14" x14ac:dyDescent="0.25">
      <c r="A227" s="47" t="s">
        <v>141</v>
      </c>
      <c r="B227" s="48">
        <v>27.51</v>
      </c>
      <c r="C227" s="48">
        <v>343.88</v>
      </c>
      <c r="D227" s="48">
        <v>5681.08</v>
      </c>
      <c r="E227" s="47" t="s">
        <v>140</v>
      </c>
      <c r="F227" s="48">
        <v>-26</v>
      </c>
      <c r="G227" s="48">
        <v>-535</v>
      </c>
      <c r="H227" s="47"/>
      <c r="I227" s="49"/>
      <c r="J227" s="49"/>
      <c r="L227" s="47" t="s">
        <v>146</v>
      </c>
      <c r="M227" s="48">
        <v>21.32</v>
      </c>
      <c r="N227" s="48">
        <v>385.28999999999996</v>
      </c>
    </row>
    <row r="228" spans="1:14" x14ac:dyDescent="0.25">
      <c r="A228" s="47" t="s">
        <v>145</v>
      </c>
      <c r="B228" s="49">
        <v>0</v>
      </c>
      <c r="C228" s="49">
        <v>0</v>
      </c>
      <c r="D228" s="48">
        <v>533.22</v>
      </c>
      <c r="E228" s="47" t="s">
        <v>147</v>
      </c>
      <c r="F228" s="48">
        <v>-21.32</v>
      </c>
      <c r="G228" s="48">
        <v>-385.28999999999996</v>
      </c>
      <c r="H228" s="47"/>
      <c r="I228" s="49"/>
      <c r="J228" s="49"/>
      <c r="L228" s="47" t="s">
        <v>142</v>
      </c>
      <c r="M228" s="48">
        <v>4.99</v>
      </c>
      <c r="N228" s="48">
        <v>90.11</v>
      </c>
    </row>
    <row r="229" spans="1:14" x14ac:dyDescent="0.25">
      <c r="A229" s="47"/>
      <c r="B229" s="49"/>
      <c r="C229" s="49"/>
      <c r="D229" s="49"/>
      <c r="E229" s="47" t="s">
        <v>143</v>
      </c>
      <c r="F229" s="48">
        <v>-4.99</v>
      </c>
      <c r="G229" s="48">
        <v>-90.11</v>
      </c>
      <c r="H229" s="47"/>
      <c r="I229" s="49"/>
      <c r="J229" s="49"/>
      <c r="L229" s="47" t="s">
        <v>138</v>
      </c>
      <c r="M229" s="48">
        <v>2.0699999999999998</v>
      </c>
      <c r="N229" s="48">
        <v>37.29</v>
      </c>
    </row>
    <row r="230" spans="1:14" x14ac:dyDescent="0.25">
      <c r="A230" s="47"/>
      <c r="B230" s="49"/>
      <c r="C230" s="49"/>
      <c r="D230" s="49"/>
      <c r="E230" s="47" t="s">
        <v>144</v>
      </c>
      <c r="F230" s="49">
        <v>0</v>
      </c>
      <c r="G230" s="49">
        <v>0</v>
      </c>
      <c r="H230" s="47"/>
      <c r="I230" s="49"/>
      <c r="J230" s="49"/>
      <c r="L230" s="47" t="s">
        <v>136</v>
      </c>
      <c r="M230" s="48">
        <v>9.9700000000000006</v>
      </c>
      <c r="N230" s="48">
        <v>180.21</v>
      </c>
    </row>
    <row r="231" spans="1:14" x14ac:dyDescent="0.25">
      <c r="A231" s="47"/>
      <c r="B231" s="49"/>
      <c r="C231" s="49"/>
      <c r="D231" s="49"/>
      <c r="E231" s="47" t="s">
        <v>137</v>
      </c>
      <c r="F231" s="49">
        <v>0</v>
      </c>
      <c r="G231" s="48">
        <v>-31.96</v>
      </c>
      <c r="H231" s="47"/>
      <c r="I231" s="49"/>
      <c r="J231" s="49"/>
      <c r="L231" s="47" t="s">
        <v>135</v>
      </c>
      <c r="M231" s="48">
        <v>0.34</v>
      </c>
      <c r="N231" s="48">
        <v>6.2100000000000009</v>
      </c>
    </row>
    <row r="232" spans="1:14" x14ac:dyDescent="0.25">
      <c r="A232" s="47"/>
      <c r="B232" s="49"/>
      <c r="C232" s="49"/>
      <c r="D232" s="49"/>
      <c r="E232" s="47" t="s">
        <v>133</v>
      </c>
      <c r="F232" s="48">
        <v>-3.1</v>
      </c>
      <c r="G232" s="48">
        <v>-55.93</v>
      </c>
      <c r="H232" s="47"/>
      <c r="I232" s="49"/>
      <c r="J232" s="49"/>
      <c r="L232" s="47"/>
      <c r="M232" s="49"/>
      <c r="N232" s="49"/>
    </row>
    <row r="233" spans="1:14" ht="15" customHeight="1" x14ac:dyDescent="0.25">
      <c r="A233" s="53" t="s">
        <v>289</v>
      </c>
      <c r="B233" s="51">
        <f>SUM(B226:B232)</f>
        <v>27.51</v>
      </c>
      <c r="C233" s="51">
        <f>SUM(C226:C232)</f>
        <v>343.88</v>
      </c>
      <c r="D233" s="51">
        <f>SUM(D226:D232)</f>
        <v>6214.3</v>
      </c>
      <c r="E233" s="53" t="s">
        <v>290</v>
      </c>
      <c r="F233" s="51">
        <f>SUM(F226:F232)</f>
        <v>-55.410000000000004</v>
      </c>
      <c r="G233" s="51">
        <f>SUM(G226:G232)</f>
        <v>-1098.29</v>
      </c>
      <c r="H233" s="53" t="s">
        <v>291</v>
      </c>
      <c r="I233" s="52">
        <f>SUM(I226:I232)</f>
        <v>0</v>
      </c>
      <c r="J233" s="52">
        <f>SUM(J226:J232)</f>
        <v>0</v>
      </c>
      <c r="K233" s="54"/>
      <c r="L233" s="53" t="s">
        <v>292</v>
      </c>
      <c r="M233" s="51">
        <f>SUM(M226:M232)</f>
        <v>38.690000000000005</v>
      </c>
      <c r="N233" s="51">
        <f>SUM(N226:N232)</f>
        <v>699.11</v>
      </c>
    </row>
    <row r="234" spans="1:14" ht="19.95" customHeight="1" x14ac:dyDescent="0.25">
      <c r="H234" s="53" t="s">
        <v>293</v>
      </c>
      <c r="I234" s="51">
        <f>C233+F233+I233</f>
        <v>288.46999999999997</v>
      </c>
      <c r="J234" s="51">
        <f>D233+G233+J233</f>
        <v>5116.01</v>
      </c>
    </row>
    <row r="235" spans="1:14" ht="15" customHeight="1" x14ac:dyDescent="0.25">
      <c r="A235" s="40" t="s">
        <v>180</v>
      </c>
      <c r="B235" s="41"/>
      <c r="C235" s="41"/>
      <c r="D235" s="40" t="s">
        <v>338</v>
      </c>
      <c r="E235" s="41"/>
      <c r="F235" s="41"/>
      <c r="G235" s="41"/>
      <c r="H235" s="41"/>
      <c r="I235" s="42" t="s">
        <v>339</v>
      </c>
      <c r="J235" s="43"/>
      <c r="K235" s="39"/>
      <c r="L235" s="38"/>
      <c r="M235" s="38"/>
      <c r="N235" s="38"/>
    </row>
    <row r="236" spans="1:14" x14ac:dyDescent="0.25">
      <c r="A236" s="45" t="s">
        <v>284</v>
      </c>
      <c r="B236" s="44" t="s">
        <v>125</v>
      </c>
      <c r="C236" s="44" t="s">
        <v>285</v>
      </c>
      <c r="D236" s="44" t="s">
        <v>286</v>
      </c>
      <c r="E236" s="45" t="s">
        <v>287</v>
      </c>
      <c r="F236" s="44" t="s">
        <v>285</v>
      </c>
      <c r="G236" s="44" t="s">
        <v>286</v>
      </c>
      <c r="H236" s="45" t="s">
        <v>288</v>
      </c>
      <c r="I236" s="44" t="s">
        <v>285</v>
      </c>
      <c r="J236" s="44" t="s">
        <v>286</v>
      </c>
      <c r="K236" s="46"/>
      <c r="L236" s="45" t="s">
        <v>288</v>
      </c>
      <c r="M236" s="44" t="s">
        <v>285</v>
      </c>
      <c r="N236" s="44" t="s">
        <v>286</v>
      </c>
    </row>
    <row r="237" spans="1:14" x14ac:dyDescent="0.25">
      <c r="A237" s="47" t="s">
        <v>182</v>
      </c>
      <c r="B237" s="48">
        <v>80</v>
      </c>
      <c r="C237" s="48">
        <v>2457.7399999999998</v>
      </c>
      <c r="D237" s="48">
        <v>44239.319999999978</v>
      </c>
      <c r="E237" s="47" t="s">
        <v>140</v>
      </c>
      <c r="F237" s="48">
        <v>-355</v>
      </c>
      <c r="G237" s="48">
        <v>-6390</v>
      </c>
      <c r="H237" s="47" t="s">
        <v>160</v>
      </c>
      <c r="I237" s="48">
        <v>-50</v>
      </c>
      <c r="J237" s="48">
        <v>-900</v>
      </c>
      <c r="L237" s="47" t="s">
        <v>146</v>
      </c>
      <c r="M237" s="48">
        <v>152.38</v>
      </c>
      <c r="N237" s="48">
        <v>2742.8400000000011</v>
      </c>
    </row>
    <row r="238" spans="1:14" x14ac:dyDescent="0.25">
      <c r="A238" s="47"/>
      <c r="B238" s="49"/>
      <c r="C238" s="49"/>
      <c r="D238" s="49"/>
      <c r="E238" s="47" t="s">
        <v>147</v>
      </c>
      <c r="F238" s="48">
        <v>-152.38</v>
      </c>
      <c r="G238" s="48">
        <v>-2742.8400000000011</v>
      </c>
      <c r="H238" s="47"/>
      <c r="I238" s="49"/>
      <c r="J238" s="49"/>
      <c r="L238" s="47" t="s">
        <v>142</v>
      </c>
      <c r="M238" s="48">
        <v>35.64</v>
      </c>
      <c r="N238" s="48">
        <v>641.46999999999991</v>
      </c>
    </row>
    <row r="239" spans="1:14" x14ac:dyDescent="0.25">
      <c r="A239" s="47"/>
      <c r="B239" s="49"/>
      <c r="C239" s="49"/>
      <c r="D239" s="49"/>
      <c r="E239" s="47" t="s">
        <v>143</v>
      </c>
      <c r="F239" s="48">
        <v>-35.64</v>
      </c>
      <c r="G239" s="48">
        <v>-641.46999999999991</v>
      </c>
      <c r="H239" s="47"/>
      <c r="I239" s="49"/>
      <c r="J239" s="49"/>
      <c r="L239" s="47" t="s">
        <v>138</v>
      </c>
      <c r="M239" s="49">
        <v>0</v>
      </c>
      <c r="N239" s="48">
        <v>42</v>
      </c>
    </row>
    <row r="240" spans="1:14" x14ac:dyDescent="0.25">
      <c r="A240" s="47"/>
      <c r="B240" s="49"/>
      <c r="C240" s="49"/>
      <c r="D240" s="49"/>
      <c r="E240" s="47" t="s">
        <v>144</v>
      </c>
      <c r="F240" s="49">
        <v>0</v>
      </c>
      <c r="G240" s="49">
        <v>0</v>
      </c>
      <c r="H240" s="47"/>
      <c r="I240" s="49"/>
      <c r="J240" s="49"/>
      <c r="L240" s="47" t="s">
        <v>136</v>
      </c>
      <c r="M240" s="49">
        <v>0</v>
      </c>
      <c r="N240" s="48">
        <v>203</v>
      </c>
    </row>
    <row r="241" spans="1:14" x14ac:dyDescent="0.25">
      <c r="A241" s="47"/>
      <c r="B241" s="49"/>
      <c r="C241" s="49"/>
      <c r="D241" s="49"/>
      <c r="E241" s="47" t="s">
        <v>137</v>
      </c>
      <c r="F241" s="48">
        <v>-176.06</v>
      </c>
      <c r="G241" s="48">
        <v>-3169.0799999999995</v>
      </c>
      <c r="H241" s="47"/>
      <c r="I241" s="49"/>
      <c r="J241" s="49"/>
      <c r="L241" s="47" t="s">
        <v>135</v>
      </c>
      <c r="M241" s="49">
        <v>0</v>
      </c>
      <c r="N241" s="48">
        <v>7</v>
      </c>
    </row>
    <row r="242" spans="1:14" x14ac:dyDescent="0.25">
      <c r="A242" s="47"/>
      <c r="B242" s="49"/>
      <c r="C242" s="49"/>
      <c r="D242" s="49"/>
      <c r="E242" s="47" t="s">
        <v>133</v>
      </c>
      <c r="F242" s="48">
        <v>-22.12</v>
      </c>
      <c r="G242" s="48">
        <v>-398.15000000000003</v>
      </c>
      <c r="H242" s="47"/>
      <c r="I242" s="49"/>
      <c r="J242" s="49"/>
      <c r="L242" s="47" t="s">
        <v>159</v>
      </c>
      <c r="M242" s="48">
        <v>50</v>
      </c>
      <c r="N242" s="48">
        <v>900</v>
      </c>
    </row>
    <row r="243" spans="1:14" ht="15" customHeight="1" x14ac:dyDescent="0.25">
      <c r="A243" s="53" t="s">
        <v>289</v>
      </c>
      <c r="B243" s="51">
        <f>SUM(B236:B242)</f>
        <v>80</v>
      </c>
      <c r="C243" s="51">
        <f>SUM(C236:C242)</f>
        <v>2457.7399999999998</v>
      </c>
      <c r="D243" s="51">
        <f>SUM(D236:D242)</f>
        <v>44239.319999999978</v>
      </c>
      <c r="E243" s="53" t="s">
        <v>290</v>
      </c>
      <c r="F243" s="51">
        <f>SUM(F236:F242)</f>
        <v>-741.19999999999993</v>
      </c>
      <c r="G243" s="51">
        <f>SUM(G236:G242)</f>
        <v>-13341.539999999999</v>
      </c>
      <c r="H243" s="53" t="s">
        <v>291</v>
      </c>
      <c r="I243" s="51">
        <f>SUM(I236:I242)</f>
        <v>-50</v>
      </c>
      <c r="J243" s="51">
        <f>SUM(J236:J242)</f>
        <v>-900</v>
      </c>
      <c r="K243" s="54"/>
      <c r="L243" s="53" t="s">
        <v>292</v>
      </c>
      <c r="M243" s="51">
        <f>SUM(M236:M242)</f>
        <v>238.01999999999998</v>
      </c>
      <c r="N243" s="51">
        <f>SUM(N236:N242)</f>
        <v>4536.3100000000013</v>
      </c>
    </row>
    <row r="244" spans="1:14" ht="19.95" customHeight="1" x14ac:dyDescent="0.25">
      <c r="H244" s="53" t="s">
        <v>293</v>
      </c>
      <c r="I244" s="51">
        <f>C243+F243+I243</f>
        <v>1666.54</v>
      </c>
      <c r="J244" s="51">
        <f>D243+G243+J243</f>
        <v>29997.779999999977</v>
      </c>
    </row>
    <row r="245" spans="1:14" ht="15" customHeight="1" x14ac:dyDescent="0.25">
      <c r="A245" s="40" t="s">
        <v>183</v>
      </c>
      <c r="B245" s="41"/>
      <c r="C245" s="41"/>
      <c r="D245" s="40" t="s">
        <v>340</v>
      </c>
      <c r="E245" s="41"/>
      <c r="F245" s="41"/>
      <c r="G245" s="41"/>
      <c r="H245" s="41"/>
      <c r="I245" s="42" t="s">
        <v>341</v>
      </c>
      <c r="J245" s="43"/>
      <c r="K245" s="39"/>
      <c r="L245" s="38"/>
      <c r="M245" s="38"/>
      <c r="N245" s="38"/>
    </row>
    <row r="246" spans="1:14" x14ac:dyDescent="0.25">
      <c r="A246" s="45" t="s">
        <v>284</v>
      </c>
      <c r="B246" s="44" t="s">
        <v>125</v>
      </c>
      <c r="C246" s="44" t="s">
        <v>285</v>
      </c>
      <c r="D246" s="44" t="s">
        <v>286</v>
      </c>
      <c r="E246" s="45" t="s">
        <v>287</v>
      </c>
      <c r="F246" s="44" t="s">
        <v>285</v>
      </c>
      <c r="G246" s="44" t="s">
        <v>286</v>
      </c>
      <c r="H246" s="45" t="s">
        <v>288</v>
      </c>
      <c r="I246" s="44" t="s">
        <v>285</v>
      </c>
      <c r="J246" s="44" t="s">
        <v>286</v>
      </c>
      <c r="K246" s="46"/>
      <c r="L246" s="45" t="s">
        <v>288</v>
      </c>
      <c r="M246" s="44" t="s">
        <v>285</v>
      </c>
      <c r="N246" s="44" t="s">
        <v>286</v>
      </c>
    </row>
    <row r="247" spans="1:14" x14ac:dyDescent="0.25">
      <c r="A247" s="47" t="s">
        <v>141</v>
      </c>
      <c r="B247" s="48">
        <v>11.81</v>
      </c>
      <c r="C247" s="48">
        <v>153.53</v>
      </c>
      <c r="D247" s="48">
        <v>9178.1799999999985</v>
      </c>
      <c r="E247" s="47" t="s">
        <v>140</v>
      </c>
      <c r="F247" s="49">
        <v>0</v>
      </c>
      <c r="G247" s="48">
        <v>-26</v>
      </c>
      <c r="H247" s="47"/>
      <c r="I247" s="49"/>
      <c r="J247" s="49"/>
      <c r="L247" s="47" t="s">
        <v>146</v>
      </c>
      <c r="M247" s="48">
        <v>9.51</v>
      </c>
      <c r="N247" s="48">
        <v>598.46</v>
      </c>
    </row>
    <row r="248" spans="1:14" x14ac:dyDescent="0.25">
      <c r="A248" s="47" t="s">
        <v>250</v>
      </c>
      <c r="B248" s="49">
        <v>0</v>
      </c>
      <c r="C248" s="49">
        <v>0</v>
      </c>
      <c r="D248" s="48">
        <v>288</v>
      </c>
      <c r="E248" s="47" t="s">
        <v>147</v>
      </c>
      <c r="F248" s="48">
        <v>-9.51</v>
      </c>
      <c r="G248" s="48">
        <v>-598.46</v>
      </c>
      <c r="H248" s="47"/>
      <c r="I248" s="49"/>
      <c r="J248" s="49"/>
      <c r="L248" s="47" t="s">
        <v>142</v>
      </c>
      <c r="M248" s="48">
        <v>2.2200000000000002</v>
      </c>
      <c r="N248" s="48">
        <v>139.96</v>
      </c>
    </row>
    <row r="249" spans="1:14" x14ac:dyDescent="0.25">
      <c r="A249" s="47" t="s">
        <v>255</v>
      </c>
      <c r="B249" s="49">
        <v>0</v>
      </c>
      <c r="C249" s="49">
        <v>0</v>
      </c>
      <c r="D249" s="48">
        <v>186.48</v>
      </c>
      <c r="E249" s="47" t="s">
        <v>143</v>
      </c>
      <c r="F249" s="48">
        <v>-2.2200000000000002</v>
      </c>
      <c r="G249" s="48">
        <v>-139.96</v>
      </c>
      <c r="H249" s="47"/>
      <c r="I249" s="49"/>
      <c r="J249" s="49"/>
      <c r="L249" s="47" t="s">
        <v>138</v>
      </c>
      <c r="M249" s="49">
        <v>0</v>
      </c>
      <c r="N249" s="48">
        <v>42.000000000000007</v>
      </c>
    </row>
    <row r="250" spans="1:14" x14ac:dyDescent="0.25">
      <c r="A250" s="47"/>
      <c r="B250" s="49"/>
      <c r="C250" s="49"/>
      <c r="D250" s="49"/>
      <c r="E250" s="47" t="s">
        <v>144</v>
      </c>
      <c r="F250" s="49">
        <v>0</v>
      </c>
      <c r="G250" s="49">
        <v>0</v>
      </c>
      <c r="H250" s="47"/>
      <c r="I250" s="49"/>
      <c r="J250" s="49"/>
      <c r="L250" s="47" t="s">
        <v>136</v>
      </c>
      <c r="M250" s="49">
        <v>0</v>
      </c>
      <c r="N250" s="48">
        <v>203.00000000000003</v>
      </c>
    </row>
    <row r="251" spans="1:14" x14ac:dyDescent="0.25">
      <c r="A251" s="47"/>
      <c r="B251" s="49"/>
      <c r="C251" s="49"/>
      <c r="D251" s="49"/>
      <c r="E251" s="47" t="s">
        <v>137</v>
      </c>
      <c r="F251" s="49">
        <v>0</v>
      </c>
      <c r="G251" s="49">
        <v>0</v>
      </c>
      <c r="H251" s="47"/>
      <c r="I251" s="49"/>
      <c r="J251" s="49"/>
      <c r="L251" s="47" t="s">
        <v>135</v>
      </c>
      <c r="M251" s="49">
        <v>0</v>
      </c>
      <c r="N251" s="48">
        <v>6.9999999999999991</v>
      </c>
    </row>
    <row r="252" spans="1:14" x14ac:dyDescent="0.25">
      <c r="A252" s="47"/>
      <c r="B252" s="49"/>
      <c r="C252" s="49"/>
      <c r="D252" s="49"/>
      <c r="E252" s="47" t="s">
        <v>133</v>
      </c>
      <c r="F252" s="48">
        <v>-1.38</v>
      </c>
      <c r="G252" s="48">
        <v>-86.870000000000019</v>
      </c>
      <c r="H252" s="47"/>
      <c r="I252" s="49"/>
      <c r="J252" s="49"/>
      <c r="L252" s="47"/>
      <c r="M252" s="49"/>
      <c r="N252" s="49"/>
    </row>
    <row r="253" spans="1:14" ht="15" customHeight="1" x14ac:dyDescent="0.25">
      <c r="A253" s="53" t="s">
        <v>289</v>
      </c>
      <c r="B253" s="51">
        <f>SUM(B246:B252)</f>
        <v>11.81</v>
      </c>
      <c r="C253" s="51">
        <f>SUM(C246:C252)</f>
        <v>153.53</v>
      </c>
      <c r="D253" s="51">
        <f>SUM(D246:D252)</f>
        <v>9652.659999999998</v>
      </c>
      <c r="E253" s="53" t="s">
        <v>290</v>
      </c>
      <c r="F253" s="51">
        <f>SUM(F246:F252)</f>
        <v>-13.11</v>
      </c>
      <c r="G253" s="51">
        <f>SUM(G246:G252)</f>
        <v>-851.29000000000008</v>
      </c>
      <c r="H253" s="53" t="s">
        <v>291</v>
      </c>
      <c r="I253" s="52">
        <f>SUM(I246:I252)</f>
        <v>0</v>
      </c>
      <c r="J253" s="52">
        <f>SUM(J246:J252)</f>
        <v>0</v>
      </c>
      <c r="K253" s="54"/>
      <c r="L253" s="53" t="s">
        <v>292</v>
      </c>
      <c r="M253" s="51">
        <f>SUM(M246:M252)</f>
        <v>11.73</v>
      </c>
      <c r="N253" s="51">
        <f>SUM(N246:N252)</f>
        <v>990.42000000000007</v>
      </c>
    </row>
    <row r="254" spans="1:14" ht="19.95" customHeight="1" x14ac:dyDescent="0.25">
      <c r="H254" s="53" t="s">
        <v>293</v>
      </c>
      <c r="I254" s="51">
        <f>C253+F253+I253</f>
        <v>140.42000000000002</v>
      </c>
      <c r="J254" s="51">
        <f>D253+G253+J253</f>
        <v>8801.3699999999972</v>
      </c>
    </row>
    <row r="255" spans="1:14" ht="15" customHeight="1" x14ac:dyDescent="0.25">
      <c r="A255" s="40" t="s">
        <v>185</v>
      </c>
      <c r="B255" s="41"/>
      <c r="C255" s="41"/>
      <c r="D255" s="40" t="s">
        <v>342</v>
      </c>
      <c r="E255" s="41"/>
      <c r="F255" s="41"/>
      <c r="G255" s="41"/>
      <c r="H255" s="41"/>
      <c r="I255" s="42" t="s">
        <v>343</v>
      </c>
      <c r="J255" s="43"/>
      <c r="K255" s="39"/>
      <c r="L255" s="38"/>
      <c r="M255" s="38"/>
      <c r="N255" s="38"/>
    </row>
    <row r="256" spans="1:14" x14ac:dyDescent="0.25">
      <c r="A256" s="45" t="s">
        <v>284</v>
      </c>
      <c r="B256" s="44" t="s">
        <v>125</v>
      </c>
      <c r="C256" s="44" t="s">
        <v>285</v>
      </c>
      <c r="D256" s="44" t="s">
        <v>286</v>
      </c>
      <c r="E256" s="45" t="s">
        <v>287</v>
      </c>
      <c r="F256" s="44" t="s">
        <v>285</v>
      </c>
      <c r="G256" s="44" t="s">
        <v>286</v>
      </c>
      <c r="H256" s="45" t="s">
        <v>288</v>
      </c>
      <c r="I256" s="44" t="s">
        <v>285</v>
      </c>
      <c r="J256" s="44" t="s">
        <v>286</v>
      </c>
      <c r="K256" s="46"/>
      <c r="L256" s="45" t="s">
        <v>288</v>
      </c>
      <c r="M256" s="44" t="s">
        <v>285</v>
      </c>
      <c r="N256" s="44" t="s">
        <v>286</v>
      </c>
    </row>
    <row r="257" spans="1:14" x14ac:dyDescent="0.25">
      <c r="A257" s="47" t="s">
        <v>141</v>
      </c>
      <c r="B257" s="48">
        <v>80</v>
      </c>
      <c r="C257" s="48">
        <v>960</v>
      </c>
      <c r="D257" s="48">
        <v>17137.199999999997</v>
      </c>
      <c r="E257" s="47" t="s">
        <v>140</v>
      </c>
      <c r="F257" s="48">
        <v>-28</v>
      </c>
      <c r="G257" s="48">
        <v>-501</v>
      </c>
      <c r="H257" s="47" t="s">
        <v>130</v>
      </c>
      <c r="I257" s="49">
        <v>0</v>
      </c>
      <c r="J257" s="49">
        <v>0</v>
      </c>
      <c r="L257" s="47" t="s">
        <v>146</v>
      </c>
      <c r="M257" s="48">
        <v>71.349999999999994</v>
      </c>
      <c r="N257" s="48">
        <v>1267.8600000000001</v>
      </c>
    </row>
    <row r="258" spans="1:14" x14ac:dyDescent="0.25">
      <c r="A258" s="47" t="s">
        <v>250</v>
      </c>
      <c r="B258" s="49">
        <v>0</v>
      </c>
      <c r="C258" s="49">
        <v>0</v>
      </c>
      <c r="D258" s="48">
        <v>288</v>
      </c>
      <c r="E258" s="47" t="s">
        <v>147</v>
      </c>
      <c r="F258" s="48">
        <v>-71.349999999999994</v>
      </c>
      <c r="G258" s="48">
        <v>-1267.8600000000001</v>
      </c>
      <c r="H258" s="47"/>
      <c r="I258" s="49"/>
      <c r="J258" s="49"/>
      <c r="L258" s="47" t="s">
        <v>142</v>
      </c>
      <c r="M258" s="48">
        <v>16.690000000000001</v>
      </c>
      <c r="N258" s="48">
        <v>296.52000000000004</v>
      </c>
    </row>
    <row r="259" spans="1:14" x14ac:dyDescent="0.25">
      <c r="A259" s="47" t="s">
        <v>145</v>
      </c>
      <c r="B259" s="48">
        <v>10.6</v>
      </c>
      <c r="C259" s="48">
        <v>190.8</v>
      </c>
      <c r="D259" s="48">
        <v>2840.4</v>
      </c>
      <c r="E259" s="47" t="s">
        <v>143</v>
      </c>
      <c r="F259" s="48">
        <v>-16.690000000000001</v>
      </c>
      <c r="G259" s="48">
        <v>-296.52000000000004</v>
      </c>
      <c r="H259" s="47"/>
      <c r="I259" s="49"/>
      <c r="J259" s="49"/>
      <c r="L259" s="47" t="s">
        <v>138</v>
      </c>
      <c r="M259" s="49">
        <v>0</v>
      </c>
      <c r="N259" s="48">
        <v>41.999999999999993</v>
      </c>
    </row>
    <row r="260" spans="1:14" x14ac:dyDescent="0.25">
      <c r="A260" s="47" t="s">
        <v>253</v>
      </c>
      <c r="B260" s="49">
        <v>0</v>
      </c>
      <c r="C260" s="49">
        <v>0</v>
      </c>
      <c r="D260" s="48">
        <v>183.72</v>
      </c>
      <c r="E260" s="47" t="s">
        <v>144</v>
      </c>
      <c r="F260" s="49">
        <v>0</v>
      </c>
      <c r="G260" s="49">
        <v>0</v>
      </c>
      <c r="H260" s="47"/>
      <c r="I260" s="49"/>
      <c r="J260" s="49"/>
      <c r="L260" s="47" t="s">
        <v>136</v>
      </c>
      <c r="M260" s="49">
        <v>0</v>
      </c>
      <c r="N260" s="48">
        <v>203.00000000000003</v>
      </c>
    </row>
    <row r="261" spans="1:14" x14ac:dyDescent="0.25">
      <c r="A261" s="47"/>
      <c r="B261" s="49"/>
      <c r="C261" s="49"/>
      <c r="D261" s="49"/>
      <c r="E261" s="47" t="s">
        <v>137</v>
      </c>
      <c r="F261" s="48">
        <v>-0.7</v>
      </c>
      <c r="G261" s="48">
        <v>-32.31</v>
      </c>
      <c r="H261" s="47"/>
      <c r="I261" s="49"/>
      <c r="J261" s="49"/>
      <c r="L261" s="47" t="s">
        <v>135</v>
      </c>
      <c r="M261" s="49">
        <v>0</v>
      </c>
      <c r="N261" s="48">
        <v>7</v>
      </c>
    </row>
    <row r="262" spans="1:14" x14ac:dyDescent="0.25">
      <c r="A262" s="47"/>
      <c r="B262" s="49"/>
      <c r="C262" s="49"/>
      <c r="D262" s="49"/>
      <c r="E262" s="47" t="s">
        <v>133</v>
      </c>
      <c r="F262" s="48">
        <v>-10.35</v>
      </c>
      <c r="G262" s="48">
        <v>-184.03999999999996</v>
      </c>
      <c r="H262" s="47"/>
      <c r="I262" s="49"/>
      <c r="J262" s="49"/>
      <c r="L262" s="47"/>
      <c r="M262" s="49"/>
      <c r="N262" s="49"/>
    </row>
    <row r="263" spans="1:14" ht="15" customHeight="1" x14ac:dyDescent="0.25">
      <c r="A263" s="53" t="s">
        <v>289</v>
      </c>
      <c r="B263" s="51">
        <f>SUM(B256:B262)</f>
        <v>90.6</v>
      </c>
      <c r="C263" s="51">
        <f>SUM(C256:C262)</f>
        <v>1150.8</v>
      </c>
      <c r="D263" s="51">
        <f>SUM(D256:D262)</f>
        <v>20449.32</v>
      </c>
      <c r="E263" s="53" t="s">
        <v>290</v>
      </c>
      <c r="F263" s="51">
        <f>SUM(F256:F262)</f>
        <v>-127.08999999999999</v>
      </c>
      <c r="G263" s="51">
        <f>SUM(G256:G262)</f>
        <v>-2281.73</v>
      </c>
      <c r="H263" s="53" t="s">
        <v>291</v>
      </c>
      <c r="I263" s="52">
        <f>SUM(I256:I262)</f>
        <v>0</v>
      </c>
      <c r="J263" s="52">
        <f>SUM(J256:J262)</f>
        <v>0</v>
      </c>
      <c r="K263" s="54"/>
      <c r="L263" s="53" t="s">
        <v>292</v>
      </c>
      <c r="M263" s="51">
        <f>SUM(M256:M262)</f>
        <v>88.039999999999992</v>
      </c>
      <c r="N263" s="51">
        <f>SUM(N256:N262)</f>
        <v>1816.38</v>
      </c>
    </row>
    <row r="264" spans="1:14" ht="19.95" customHeight="1" x14ac:dyDescent="0.25">
      <c r="H264" s="53" t="s">
        <v>293</v>
      </c>
      <c r="I264" s="51">
        <f>C263+F263+I263</f>
        <v>1023.7099999999999</v>
      </c>
      <c r="J264" s="51">
        <f>D263+G263+J263</f>
        <v>18167.59</v>
      </c>
    </row>
    <row r="265" spans="1:14" ht="15" customHeight="1" x14ac:dyDescent="0.25">
      <c r="A265" s="40" t="s">
        <v>187</v>
      </c>
      <c r="B265" s="41"/>
      <c r="C265" s="41"/>
      <c r="D265" s="40" t="s">
        <v>344</v>
      </c>
      <c r="E265" s="41"/>
      <c r="F265" s="41"/>
      <c r="G265" s="41"/>
      <c r="H265" s="41"/>
      <c r="I265" s="42" t="s">
        <v>345</v>
      </c>
      <c r="J265" s="43"/>
      <c r="K265" s="39"/>
      <c r="L265" s="38"/>
      <c r="M265" s="38"/>
      <c r="N265" s="38"/>
    </row>
    <row r="266" spans="1:14" x14ac:dyDescent="0.25">
      <c r="A266" s="45" t="s">
        <v>284</v>
      </c>
      <c r="B266" s="44" t="s">
        <v>125</v>
      </c>
      <c r="C266" s="44" t="s">
        <v>285</v>
      </c>
      <c r="D266" s="44" t="s">
        <v>286</v>
      </c>
      <c r="E266" s="45" t="s">
        <v>287</v>
      </c>
      <c r="F266" s="44" t="s">
        <v>285</v>
      </c>
      <c r="G266" s="44" t="s">
        <v>286</v>
      </c>
      <c r="H266" s="45" t="s">
        <v>288</v>
      </c>
      <c r="I266" s="44" t="s">
        <v>285</v>
      </c>
      <c r="J266" s="44" t="s">
        <v>286</v>
      </c>
      <c r="K266" s="46"/>
      <c r="L266" s="45" t="s">
        <v>288</v>
      </c>
      <c r="M266" s="44" t="s">
        <v>285</v>
      </c>
      <c r="N266" s="44" t="s">
        <v>286</v>
      </c>
    </row>
    <row r="267" spans="1:14" x14ac:dyDescent="0.25">
      <c r="A267" s="47" t="s">
        <v>141</v>
      </c>
      <c r="B267" s="48">
        <v>80</v>
      </c>
      <c r="C267" s="48">
        <v>2000</v>
      </c>
      <c r="D267" s="48">
        <v>33294.25</v>
      </c>
      <c r="E267" s="47" t="s">
        <v>140</v>
      </c>
      <c r="F267" s="48">
        <v>-446</v>
      </c>
      <c r="G267" s="48">
        <v>-6461</v>
      </c>
      <c r="H267" s="47" t="s">
        <v>130</v>
      </c>
      <c r="I267" s="49">
        <v>0</v>
      </c>
      <c r="J267" s="48">
        <v>-700</v>
      </c>
      <c r="L267" s="47" t="s">
        <v>146</v>
      </c>
      <c r="M267" s="48">
        <v>231.71</v>
      </c>
      <c r="N267" s="48">
        <v>3383.2900000000004</v>
      </c>
    </row>
    <row r="268" spans="1:14" x14ac:dyDescent="0.25">
      <c r="A268" s="47" t="s">
        <v>250</v>
      </c>
      <c r="B268" s="49">
        <v>0</v>
      </c>
      <c r="C268" s="49">
        <v>0</v>
      </c>
      <c r="D268" s="48">
        <v>200</v>
      </c>
      <c r="E268" s="47" t="s">
        <v>147</v>
      </c>
      <c r="F268" s="48">
        <v>-231.71</v>
      </c>
      <c r="G268" s="48">
        <v>-3383.2900000000004</v>
      </c>
      <c r="H268" s="47"/>
      <c r="I268" s="49"/>
      <c r="J268" s="49"/>
      <c r="L268" s="47" t="s">
        <v>142</v>
      </c>
      <c r="M268" s="48">
        <v>54.19</v>
      </c>
      <c r="N268" s="48">
        <v>791.25</v>
      </c>
    </row>
    <row r="269" spans="1:14" x14ac:dyDescent="0.25">
      <c r="A269" s="47" t="s">
        <v>145</v>
      </c>
      <c r="B269" s="48">
        <v>46.33</v>
      </c>
      <c r="C269" s="48">
        <v>1737.38</v>
      </c>
      <c r="D269" s="48">
        <v>21074.99</v>
      </c>
      <c r="E269" s="47" t="s">
        <v>143</v>
      </c>
      <c r="F269" s="48">
        <v>-54.19</v>
      </c>
      <c r="G269" s="48">
        <v>-791.25</v>
      </c>
      <c r="H269" s="47"/>
      <c r="I269" s="49"/>
      <c r="J269" s="49"/>
      <c r="L269" s="47" t="s">
        <v>138</v>
      </c>
      <c r="M269" s="49">
        <v>0</v>
      </c>
      <c r="N269" s="48">
        <v>42</v>
      </c>
    </row>
    <row r="270" spans="1:14" x14ac:dyDescent="0.25">
      <c r="A270" s="47"/>
      <c r="B270" s="49"/>
      <c r="C270" s="49"/>
      <c r="D270" s="49"/>
      <c r="E270" s="47" t="s">
        <v>144</v>
      </c>
      <c r="F270" s="49">
        <v>0</v>
      </c>
      <c r="G270" s="49">
        <v>0</v>
      </c>
      <c r="H270" s="47"/>
      <c r="I270" s="49"/>
      <c r="J270" s="49"/>
      <c r="L270" s="47" t="s">
        <v>136</v>
      </c>
      <c r="M270" s="49">
        <v>0</v>
      </c>
      <c r="N270" s="48">
        <v>203</v>
      </c>
    </row>
    <row r="271" spans="1:14" x14ac:dyDescent="0.25">
      <c r="A271" s="47"/>
      <c r="B271" s="49"/>
      <c r="C271" s="49"/>
      <c r="D271" s="49"/>
      <c r="E271" s="47" t="s">
        <v>137</v>
      </c>
      <c r="F271" s="48">
        <v>-131.41</v>
      </c>
      <c r="G271" s="48">
        <v>-2265.16</v>
      </c>
      <c r="H271" s="47"/>
      <c r="I271" s="49"/>
      <c r="J271" s="49"/>
      <c r="L271" s="47" t="s">
        <v>135</v>
      </c>
      <c r="M271" s="49">
        <v>0</v>
      </c>
      <c r="N271" s="48">
        <v>6.9999999999999991</v>
      </c>
    </row>
    <row r="272" spans="1:14" x14ac:dyDescent="0.25">
      <c r="A272" s="47"/>
      <c r="B272" s="49"/>
      <c r="C272" s="49"/>
      <c r="D272" s="49"/>
      <c r="E272" s="47" t="s">
        <v>133</v>
      </c>
      <c r="F272" s="48">
        <v>-33.630000000000003</v>
      </c>
      <c r="G272" s="48">
        <v>-491.12</v>
      </c>
      <c r="H272" s="47"/>
      <c r="I272" s="49"/>
      <c r="J272" s="49"/>
      <c r="L272" s="47"/>
      <c r="M272" s="49"/>
      <c r="N272" s="49"/>
    </row>
    <row r="273" spans="1:14" ht="15" customHeight="1" x14ac:dyDescent="0.25">
      <c r="A273" s="53" t="s">
        <v>289</v>
      </c>
      <c r="B273" s="51">
        <f>SUM(B266:B272)</f>
        <v>126.33</v>
      </c>
      <c r="C273" s="51">
        <f>SUM(C266:C272)</f>
        <v>3737.38</v>
      </c>
      <c r="D273" s="51">
        <f>SUM(D266:D272)</f>
        <v>54569.240000000005</v>
      </c>
      <c r="E273" s="53" t="s">
        <v>290</v>
      </c>
      <c r="F273" s="51">
        <f>SUM(F266:F272)</f>
        <v>-896.94</v>
      </c>
      <c r="G273" s="51">
        <f>SUM(G266:G272)</f>
        <v>-13391.820000000002</v>
      </c>
      <c r="H273" s="53" t="s">
        <v>291</v>
      </c>
      <c r="I273" s="52">
        <f>SUM(I266:I272)</f>
        <v>0</v>
      </c>
      <c r="J273" s="51">
        <f>SUM(J266:J272)</f>
        <v>-700</v>
      </c>
      <c r="K273" s="54"/>
      <c r="L273" s="53" t="s">
        <v>292</v>
      </c>
      <c r="M273" s="51">
        <f>SUM(M266:M272)</f>
        <v>285.89999999999998</v>
      </c>
      <c r="N273" s="51">
        <f>SUM(N266:N272)</f>
        <v>4426.5400000000009</v>
      </c>
    </row>
    <row r="274" spans="1:14" ht="19.95" customHeight="1" x14ac:dyDescent="0.25">
      <c r="H274" s="53" t="s">
        <v>293</v>
      </c>
      <c r="I274" s="51">
        <f>C273+F273+I273</f>
        <v>2840.44</v>
      </c>
      <c r="J274" s="51">
        <f>D273+G273+J273</f>
        <v>40477.420000000006</v>
      </c>
    </row>
    <row r="275" spans="1:14" ht="15" customHeight="1" x14ac:dyDescent="0.25">
      <c r="A275" s="40" t="s">
        <v>189</v>
      </c>
      <c r="B275" s="41"/>
      <c r="C275" s="41"/>
      <c r="D275" s="40" t="s">
        <v>346</v>
      </c>
      <c r="E275" s="41"/>
      <c r="F275" s="41"/>
      <c r="G275" s="41"/>
      <c r="H275" s="41"/>
      <c r="I275" s="42" t="s">
        <v>347</v>
      </c>
      <c r="J275" s="43"/>
      <c r="K275" s="39"/>
      <c r="L275" s="38"/>
      <c r="M275" s="38"/>
      <c r="N275" s="38"/>
    </row>
    <row r="276" spans="1:14" x14ac:dyDescent="0.25">
      <c r="A276" s="45" t="s">
        <v>284</v>
      </c>
      <c r="B276" s="44" t="s">
        <v>125</v>
      </c>
      <c r="C276" s="44" t="s">
        <v>285</v>
      </c>
      <c r="D276" s="44" t="s">
        <v>286</v>
      </c>
      <c r="E276" s="45" t="s">
        <v>287</v>
      </c>
      <c r="F276" s="44" t="s">
        <v>285</v>
      </c>
      <c r="G276" s="44" t="s">
        <v>286</v>
      </c>
      <c r="H276" s="45" t="s">
        <v>288</v>
      </c>
      <c r="I276" s="44" t="s">
        <v>285</v>
      </c>
      <c r="J276" s="44" t="s">
        <v>286</v>
      </c>
      <c r="K276" s="46"/>
      <c r="L276" s="45" t="s">
        <v>288</v>
      </c>
      <c r="M276" s="44" t="s">
        <v>285</v>
      </c>
      <c r="N276" s="44" t="s">
        <v>286</v>
      </c>
    </row>
    <row r="277" spans="1:14" x14ac:dyDescent="0.25">
      <c r="A277" s="47" t="s">
        <v>141</v>
      </c>
      <c r="B277" s="48">
        <v>80</v>
      </c>
      <c r="C277" s="48">
        <v>1360</v>
      </c>
      <c r="D277" s="48">
        <v>22510.600000000002</v>
      </c>
      <c r="E277" s="47" t="s">
        <v>140</v>
      </c>
      <c r="F277" s="48">
        <v>-236</v>
      </c>
      <c r="G277" s="48">
        <v>-3365</v>
      </c>
      <c r="H277" s="47" t="s">
        <v>130</v>
      </c>
      <c r="I277" s="48">
        <v>-50</v>
      </c>
      <c r="J277" s="48">
        <v>50</v>
      </c>
      <c r="L277" s="47" t="s">
        <v>146</v>
      </c>
      <c r="M277" s="48">
        <v>142.53</v>
      </c>
      <c r="N277" s="48">
        <v>2144.4</v>
      </c>
    </row>
    <row r="278" spans="1:14" x14ac:dyDescent="0.25">
      <c r="A278" s="47" t="s">
        <v>250</v>
      </c>
      <c r="B278" s="49">
        <v>0</v>
      </c>
      <c r="C278" s="49">
        <v>0</v>
      </c>
      <c r="D278" s="48">
        <v>360</v>
      </c>
      <c r="E278" s="47" t="s">
        <v>147</v>
      </c>
      <c r="F278" s="48">
        <v>-142.53</v>
      </c>
      <c r="G278" s="48">
        <v>-2144.4</v>
      </c>
      <c r="H278" s="47"/>
      <c r="I278" s="49"/>
      <c r="J278" s="49"/>
      <c r="L278" s="47" t="s">
        <v>142</v>
      </c>
      <c r="M278" s="48">
        <v>33.33</v>
      </c>
      <c r="N278" s="48">
        <v>501.51</v>
      </c>
    </row>
    <row r="279" spans="1:14" x14ac:dyDescent="0.25">
      <c r="A279" s="47" t="s">
        <v>255</v>
      </c>
      <c r="B279" s="49">
        <v>0</v>
      </c>
      <c r="C279" s="49">
        <v>0</v>
      </c>
      <c r="D279" s="48">
        <v>464.27</v>
      </c>
      <c r="E279" s="47" t="s">
        <v>143</v>
      </c>
      <c r="F279" s="48">
        <v>-33.33</v>
      </c>
      <c r="G279" s="48">
        <v>-501.51</v>
      </c>
      <c r="H279" s="47"/>
      <c r="I279" s="49"/>
      <c r="J279" s="49"/>
      <c r="L279" s="47" t="s">
        <v>138</v>
      </c>
      <c r="M279" s="49">
        <v>0</v>
      </c>
      <c r="N279" s="48">
        <v>42</v>
      </c>
    </row>
    <row r="280" spans="1:14" x14ac:dyDescent="0.25">
      <c r="A280" s="47" t="s">
        <v>145</v>
      </c>
      <c r="B280" s="48">
        <v>36.82</v>
      </c>
      <c r="C280" s="48">
        <v>938.91</v>
      </c>
      <c r="D280" s="48">
        <v>11252.229999999998</v>
      </c>
      <c r="E280" s="47" t="s">
        <v>144</v>
      </c>
      <c r="F280" s="49">
        <v>0</v>
      </c>
      <c r="G280" s="49">
        <v>0</v>
      </c>
      <c r="H280" s="47"/>
      <c r="I280" s="49"/>
      <c r="J280" s="49"/>
      <c r="L280" s="47" t="s">
        <v>136</v>
      </c>
      <c r="M280" s="49">
        <v>0</v>
      </c>
      <c r="N280" s="48">
        <v>203</v>
      </c>
    </row>
    <row r="281" spans="1:14" x14ac:dyDescent="0.25">
      <c r="A281" s="47"/>
      <c r="B281" s="49"/>
      <c r="C281" s="49"/>
      <c r="D281" s="49"/>
      <c r="E281" s="47" t="s">
        <v>137</v>
      </c>
      <c r="F281" s="48">
        <v>-50.53</v>
      </c>
      <c r="G281" s="48">
        <v>-653.41999999999996</v>
      </c>
      <c r="H281" s="47"/>
      <c r="I281" s="49"/>
      <c r="J281" s="49"/>
      <c r="L281" s="47" t="s">
        <v>135</v>
      </c>
      <c r="M281" s="49">
        <v>0</v>
      </c>
      <c r="N281" s="48">
        <v>7.0000000000000009</v>
      </c>
    </row>
    <row r="282" spans="1:14" x14ac:dyDescent="0.25">
      <c r="A282" s="47"/>
      <c r="B282" s="49"/>
      <c r="C282" s="49"/>
      <c r="D282" s="49"/>
      <c r="E282" s="47" t="s">
        <v>133</v>
      </c>
      <c r="F282" s="48">
        <v>-20.69</v>
      </c>
      <c r="G282" s="48">
        <v>-311.28000000000003</v>
      </c>
      <c r="H282" s="47"/>
      <c r="I282" s="49"/>
      <c r="J282" s="49"/>
      <c r="L282" s="47"/>
      <c r="M282" s="49"/>
      <c r="N282" s="49"/>
    </row>
    <row r="283" spans="1:14" ht="15" customHeight="1" x14ac:dyDescent="0.25">
      <c r="A283" s="53" t="s">
        <v>289</v>
      </c>
      <c r="B283" s="51">
        <f>SUM(B276:B282)</f>
        <v>116.82</v>
      </c>
      <c r="C283" s="51">
        <f>SUM(C276:C282)</f>
        <v>2298.91</v>
      </c>
      <c r="D283" s="51">
        <f>SUM(D276:D282)</f>
        <v>34587.1</v>
      </c>
      <c r="E283" s="53" t="s">
        <v>290</v>
      </c>
      <c r="F283" s="51">
        <f>SUM(F276:F282)</f>
        <v>-483.08</v>
      </c>
      <c r="G283" s="51">
        <f>SUM(G276:G282)</f>
        <v>-6975.61</v>
      </c>
      <c r="H283" s="53" t="s">
        <v>291</v>
      </c>
      <c r="I283" s="51">
        <f>SUM(I276:I282)</f>
        <v>-50</v>
      </c>
      <c r="J283" s="51">
        <f>SUM(J276:J282)</f>
        <v>50</v>
      </c>
      <c r="K283" s="54"/>
      <c r="L283" s="53" t="s">
        <v>292</v>
      </c>
      <c r="M283" s="51">
        <f>SUM(M276:M282)</f>
        <v>175.86</v>
      </c>
      <c r="N283" s="51">
        <f>SUM(N276:N282)</f>
        <v>2897.91</v>
      </c>
    </row>
    <row r="284" spans="1:14" ht="19.95" customHeight="1" x14ac:dyDescent="0.25">
      <c r="H284" s="53" t="s">
        <v>293</v>
      </c>
      <c r="I284" s="51">
        <f>C283+F283+I283</f>
        <v>1765.83</v>
      </c>
      <c r="J284" s="51">
        <f>D283+G283+J283</f>
        <v>27661.489999999998</v>
      </c>
    </row>
    <row r="285" spans="1:14" ht="15" customHeight="1" x14ac:dyDescent="0.25">
      <c r="A285" s="40" t="s">
        <v>264</v>
      </c>
      <c r="B285" s="41"/>
      <c r="C285" s="41"/>
      <c r="D285" s="40" t="s">
        <v>348</v>
      </c>
      <c r="E285" s="41"/>
      <c r="F285" s="41"/>
      <c r="G285" s="41"/>
      <c r="H285" s="41"/>
      <c r="I285" s="42" t="s">
        <v>349</v>
      </c>
      <c r="J285" s="43"/>
      <c r="K285" s="39"/>
      <c r="L285" s="38"/>
      <c r="M285" s="38"/>
      <c r="N285" s="38"/>
    </row>
    <row r="286" spans="1:14" x14ac:dyDescent="0.25">
      <c r="A286" s="45" t="s">
        <v>284</v>
      </c>
      <c r="B286" s="44" t="s">
        <v>125</v>
      </c>
      <c r="C286" s="44" t="s">
        <v>285</v>
      </c>
      <c r="D286" s="44" t="s">
        <v>286</v>
      </c>
      <c r="E286" s="45" t="s">
        <v>287</v>
      </c>
      <c r="F286" s="44" t="s">
        <v>285</v>
      </c>
      <c r="G286" s="44" t="s">
        <v>286</v>
      </c>
      <c r="H286" s="45" t="s">
        <v>288</v>
      </c>
      <c r="I286" s="44" t="s">
        <v>285</v>
      </c>
      <c r="J286" s="44" t="s">
        <v>286</v>
      </c>
      <c r="K286" s="46"/>
      <c r="L286" s="45" t="s">
        <v>288</v>
      </c>
      <c r="M286" s="44" t="s">
        <v>285</v>
      </c>
      <c r="N286" s="44" t="s">
        <v>286</v>
      </c>
    </row>
    <row r="287" spans="1:14" x14ac:dyDescent="0.25">
      <c r="A287" s="47" t="s">
        <v>141</v>
      </c>
      <c r="B287" s="48">
        <v>45.27</v>
      </c>
      <c r="C287" s="48">
        <v>497.97</v>
      </c>
      <c r="D287" s="48">
        <v>1771.11</v>
      </c>
      <c r="E287" s="47" t="s">
        <v>140</v>
      </c>
      <c r="F287" s="48">
        <v>-25</v>
      </c>
      <c r="G287" s="48">
        <v>-90</v>
      </c>
      <c r="H287" s="47"/>
      <c r="I287" s="49"/>
      <c r="J287" s="49"/>
      <c r="L287" s="47" t="s">
        <v>146</v>
      </c>
      <c r="M287" s="48">
        <v>30.87</v>
      </c>
      <c r="N287" s="48">
        <v>116.97000000000001</v>
      </c>
    </row>
    <row r="288" spans="1:14" x14ac:dyDescent="0.25">
      <c r="A288" s="47" t="s">
        <v>145</v>
      </c>
      <c r="B288" s="49">
        <v>0</v>
      </c>
      <c r="C288" s="49">
        <v>0</v>
      </c>
      <c r="D288" s="48">
        <v>115.5</v>
      </c>
      <c r="E288" s="47" t="s">
        <v>147</v>
      </c>
      <c r="F288" s="48">
        <v>-30.87</v>
      </c>
      <c r="G288" s="48">
        <v>-116.97000000000001</v>
      </c>
      <c r="H288" s="47"/>
      <c r="I288" s="49"/>
      <c r="J288" s="49"/>
      <c r="L288" s="47" t="s">
        <v>142</v>
      </c>
      <c r="M288" s="48">
        <v>7.22</v>
      </c>
      <c r="N288" s="48">
        <v>27.36</v>
      </c>
    </row>
    <row r="289" spans="1:14" x14ac:dyDescent="0.25">
      <c r="A289" s="47"/>
      <c r="B289" s="49"/>
      <c r="C289" s="49"/>
      <c r="D289" s="49"/>
      <c r="E289" s="47" t="s">
        <v>143</v>
      </c>
      <c r="F289" s="48">
        <v>-7.22</v>
      </c>
      <c r="G289" s="48">
        <v>-27.36</v>
      </c>
      <c r="H289" s="47"/>
      <c r="I289" s="49"/>
      <c r="J289" s="49"/>
      <c r="L289" s="47" t="s">
        <v>138</v>
      </c>
      <c r="M289" s="48">
        <v>2.99</v>
      </c>
      <c r="N289" s="48">
        <v>11.32</v>
      </c>
    </row>
    <row r="290" spans="1:14" x14ac:dyDescent="0.25">
      <c r="A290" s="47"/>
      <c r="B290" s="49"/>
      <c r="C290" s="49"/>
      <c r="D290" s="49"/>
      <c r="E290" s="47" t="s">
        <v>144</v>
      </c>
      <c r="F290" s="49">
        <v>0</v>
      </c>
      <c r="G290" s="49">
        <v>0</v>
      </c>
      <c r="H290" s="47"/>
      <c r="I290" s="49"/>
      <c r="J290" s="49"/>
      <c r="L290" s="47" t="s">
        <v>136</v>
      </c>
      <c r="M290" s="48">
        <v>14.44</v>
      </c>
      <c r="N290" s="48">
        <v>54.71</v>
      </c>
    </row>
    <row r="291" spans="1:14" x14ac:dyDescent="0.25">
      <c r="A291" s="47"/>
      <c r="B291" s="49"/>
      <c r="C291" s="49"/>
      <c r="D291" s="49"/>
      <c r="E291" s="47" t="s">
        <v>137</v>
      </c>
      <c r="F291" s="49">
        <v>0</v>
      </c>
      <c r="G291" s="48">
        <v>-0.56000000000000005</v>
      </c>
      <c r="H291" s="47"/>
      <c r="I291" s="49"/>
      <c r="J291" s="49"/>
      <c r="L291" s="47" t="s">
        <v>135</v>
      </c>
      <c r="M291" s="48">
        <v>0.5</v>
      </c>
      <c r="N291" s="48">
        <v>1.8900000000000001</v>
      </c>
    </row>
    <row r="292" spans="1:14" x14ac:dyDescent="0.25">
      <c r="A292" s="47"/>
      <c r="B292" s="49"/>
      <c r="C292" s="49"/>
      <c r="D292" s="49"/>
      <c r="E292" s="47" t="s">
        <v>133</v>
      </c>
      <c r="F292" s="48">
        <v>-4.4800000000000004</v>
      </c>
      <c r="G292" s="48">
        <v>-16.98</v>
      </c>
      <c r="H292" s="47"/>
      <c r="I292" s="49"/>
      <c r="J292" s="49"/>
      <c r="L292" s="47"/>
      <c r="M292" s="49"/>
      <c r="N292" s="49"/>
    </row>
    <row r="293" spans="1:14" ht="15" customHeight="1" x14ac:dyDescent="0.25">
      <c r="A293" s="53" t="s">
        <v>289</v>
      </c>
      <c r="B293" s="51">
        <f>SUM(B286:B292)</f>
        <v>45.27</v>
      </c>
      <c r="C293" s="51">
        <f>SUM(C286:C292)</f>
        <v>497.97</v>
      </c>
      <c r="D293" s="51">
        <f>SUM(D286:D292)</f>
        <v>1886.61</v>
      </c>
      <c r="E293" s="53" t="s">
        <v>290</v>
      </c>
      <c r="F293" s="51">
        <f>SUM(F286:F292)</f>
        <v>-67.570000000000007</v>
      </c>
      <c r="G293" s="51">
        <f>SUM(G286:G292)</f>
        <v>-251.87000000000003</v>
      </c>
      <c r="H293" s="53" t="s">
        <v>291</v>
      </c>
      <c r="I293" s="52">
        <f>SUM(I286:I292)</f>
        <v>0</v>
      </c>
      <c r="J293" s="52">
        <f>SUM(J286:J292)</f>
        <v>0</v>
      </c>
      <c r="K293" s="54"/>
      <c r="L293" s="53" t="s">
        <v>292</v>
      </c>
      <c r="M293" s="51">
        <f>SUM(M286:M292)</f>
        <v>56.02</v>
      </c>
      <c r="N293" s="51">
        <f>SUM(N286:N292)</f>
        <v>212.25</v>
      </c>
    </row>
    <row r="294" spans="1:14" ht="19.95" customHeight="1" x14ac:dyDescent="0.25">
      <c r="H294" s="53" t="s">
        <v>293</v>
      </c>
      <c r="I294" s="51">
        <f>C293+F293+I293</f>
        <v>430.40000000000003</v>
      </c>
      <c r="J294" s="51">
        <f>D293+G293+J293</f>
        <v>1634.7399999999998</v>
      </c>
    </row>
    <row r="295" spans="1:14" ht="15" customHeight="1" x14ac:dyDescent="0.25">
      <c r="A295" s="40" t="s">
        <v>258</v>
      </c>
      <c r="B295" s="41"/>
      <c r="C295" s="41"/>
      <c r="D295" s="40" t="s">
        <v>350</v>
      </c>
      <c r="E295" s="41"/>
      <c r="F295" s="41"/>
      <c r="G295" s="41"/>
      <c r="H295" s="41"/>
      <c r="I295" s="42" t="s">
        <v>351</v>
      </c>
      <c r="J295" s="43"/>
      <c r="K295" s="39"/>
      <c r="L295" s="38"/>
      <c r="M295" s="38"/>
      <c r="N295" s="38"/>
    </row>
    <row r="296" spans="1:14" x14ac:dyDescent="0.25">
      <c r="A296" s="45" t="s">
        <v>284</v>
      </c>
      <c r="B296" s="44" t="s">
        <v>125</v>
      </c>
      <c r="C296" s="44" t="s">
        <v>285</v>
      </c>
      <c r="D296" s="44" t="s">
        <v>286</v>
      </c>
      <c r="E296" s="45" t="s">
        <v>287</v>
      </c>
      <c r="F296" s="44" t="s">
        <v>285</v>
      </c>
      <c r="G296" s="44" t="s">
        <v>286</v>
      </c>
      <c r="H296" s="45" t="s">
        <v>288</v>
      </c>
      <c r="I296" s="44" t="s">
        <v>285</v>
      </c>
      <c r="J296" s="44" t="s">
        <v>286</v>
      </c>
      <c r="K296" s="46"/>
      <c r="L296" s="45" t="s">
        <v>288</v>
      </c>
      <c r="M296" s="44" t="s">
        <v>285</v>
      </c>
      <c r="N296" s="44" t="s">
        <v>286</v>
      </c>
    </row>
    <row r="297" spans="1:14" x14ac:dyDescent="0.25">
      <c r="A297" s="47" t="s">
        <v>141</v>
      </c>
      <c r="B297" s="48">
        <v>6.06</v>
      </c>
      <c r="C297" s="48">
        <v>66.66</v>
      </c>
      <c r="D297" s="48">
        <v>4949.34</v>
      </c>
      <c r="E297" s="47" t="s">
        <v>140</v>
      </c>
      <c r="F297" s="49">
        <v>0</v>
      </c>
      <c r="G297" s="48">
        <v>-7</v>
      </c>
      <c r="H297" s="47"/>
      <c r="I297" s="49"/>
      <c r="J297" s="49"/>
      <c r="L297" s="47" t="s">
        <v>146</v>
      </c>
      <c r="M297" s="48">
        <v>4.13</v>
      </c>
      <c r="N297" s="48">
        <v>382.93</v>
      </c>
    </row>
    <row r="298" spans="1:14" x14ac:dyDescent="0.25">
      <c r="A298" s="47" t="s">
        <v>145</v>
      </c>
      <c r="B298" s="49">
        <v>0</v>
      </c>
      <c r="C298" s="49">
        <v>0</v>
      </c>
      <c r="D298" s="48">
        <v>1226.95</v>
      </c>
      <c r="E298" s="47" t="s">
        <v>147</v>
      </c>
      <c r="F298" s="48">
        <v>-4.13</v>
      </c>
      <c r="G298" s="48">
        <v>-382.93</v>
      </c>
      <c r="H298" s="47"/>
      <c r="I298" s="49"/>
      <c r="J298" s="49"/>
      <c r="L298" s="47" t="s">
        <v>142</v>
      </c>
      <c r="M298" s="48">
        <v>0.97</v>
      </c>
      <c r="N298" s="48">
        <v>89.56</v>
      </c>
    </row>
    <row r="299" spans="1:14" x14ac:dyDescent="0.25">
      <c r="A299" s="47"/>
      <c r="B299" s="49"/>
      <c r="C299" s="49"/>
      <c r="D299" s="49"/>
      <c r="E299" s="47" t="s">
        <v>143</v>
      </c>
      <c r="F299" s="48">
        <v>-0.97</v>
      </c>
      <c r="G299" s="48">
        <v>-89.56</v>
      </c>
      <c r="H299" s="47"/>
      <c r="I299" s="49"/>
      <c r="J299" s="49"/>
      <c r="L299" s="47" t="s">
        <v>138</v>
      </c>
      <c r="M299" s="48">
        <v>0.4</v>
      </c>
      <c r="N299" s="48">
        <v>37.06</v>
      </c>
    </row>
    <row r="300" spans="1:14" x14ac:dyDescent="0.25">
      <c r="A300" s="47"/>
      <c r="B300" s="49"/>
      <c r="C300" s="49"/>
      <c r="D300" s="49"/>
      <c r="E300" s="47" t="s">
        <v>144</v>
      </c>
      <c r="F300" s="49">
        <v>0</v>
      </c>
      <c r="G300" s="49">
        <v>0</v>
      </c>
      <c r="H300" s="47"/>
      <c r="I300" s="49"/>
      <c r="J300" s="49"/>
      <c r="L300" s="47" t="s">
        <v>136</v>
      </c>
      <c r="M300" s="48">
        <v>1.93</v>
      </c>
      <c r="N300" s="48">
        <v>179.10999999999999</v>
      </c>
    </row>
    <row r="301" spans="1:14" x14ac:dyDescent="0.25">
      <c r="A301" s="47"/>
      <c r="B301" s="49"/>
      <c r="C301" s="49"/>
      <c r="D301" s="49"/>
      <c r="E301" s="47" t="s">
        <v>137</v>
      </c>
      <c r="F301" s="49">
        <v>0</v>
      </c>
      <c r="G301" s="49">
        <v>0</v>
      </c>
      <c r="H301" s="47"/>
      <c r="I301" s="49"/>
      <c r="J301" s="49"/>
      <c r="L301" s="47" t="s">
        <v>135</v>
      </c>
      <c r="M301" s="48">
        <v>7.0000000000000007E-2</v>
      </c>
      <c r="N301" s="48">
        <v>6.1800000000000006</v>
      </c>
    </row>
    <row r="302" spans="1:14" x14ac:dyDescent="0.25">
      <c r="A302" s="47"/>
      <c r="B302" s="49"/>
      <c r="C302" s="49"/>
      <c r="D302" s="49"/>
      <c r="E302" s="47" t="s">
        <v>133</v>
      </c>
      <c r="F302" s="48">
        <v>-0.6</v>
      </c>
      <c r="G302" s="48">
        <v>-55.589999999999996</v>
      </c>
      <c r="H302" s="47"/>
      <c r="I302" s="49"/>
      <c r="J302" s="49"/>
      <c r="L302" s="47"/>
      <c r="M302" s="49"/>
      <c r="N302" s="49"/>
    </row>
    <row r="303" spans="1:14" ht="15" customHeight="1" x14ac:dyDescent="0.25">
      <c r="A303" s="53" t="s">
        <v>289</v>
      </c>
      <c r="B303" s="51">
        <f>SUM(B296:B302)</f>
        <v>6.06</v>
      </c>
      <c r="C303" s="51">
        <f>SUM(C296:C302)</f>
        <v>66.66</v>
      </c>
      <c r="D303" s="51">
        <f>SUM(D296:D302)</f>
        <v>6176.29</v>
      </c>
      <c r="E303" s="53" t="s">
        <v>290</v>
      </c>
      <c r="F303" s="51">
        <f>SUM(F296:F302)</f>
        <v>-5.6999999999999993</v>
      </c>
      <c r="G303" s="51">
        <f>SUM(G296:G302)</f>
        <v>-535.08000000000004</v>
      </c>
      <c r="H303" s="53" t="s">
        <v>291</v>
      </c>
      <c r="I303" s="52">
        <f>SUM(I296:I302)</f>
        <v>0</v>
      </c>
      <c r="J303" s="52">
        <f>SUM(J296:J302)</f>
        <v>0</v>
      </c>
      <c r="K303" s="54"/>
      <c r="L303" s="53" t="s">
        <v>292</v>
      </c>
      <c r="M303" s="51">
        <f>SUM(M296:M302)</f>
        <v>7.5</v>
      </c>
      <c r="N303" s="51">
        <f>SUM(N296:N302)</f>
        <v>694.83999999999992</v>
      </c>
    </row>
    <row r="304" spans="1:14" ht="19.95" customHeight="1" x14ac:dyDescent="0.25">
      <c r="H304" s="53" t="s">
        <v>293</v>
      </c>
      <c r="I304" s="51">
        <f>C303+F303+I303</f>
        <v>60.959999999999994</v>
      </c>
      <c r="J304" s="51">
        <f>D303+G303+J303</f>
        <v>5641.21</v>
      </c>
    </row>
    <row r="305" spans="1:14" ht="15" customHeight="1" x14ac:dyDescent="0.25">
      <c r="A305" s="40" t="s">
        <v>191</v>
      </c>
      <c r="B305" s="41"/>
      <c r="C305" s="41"/>
      <c r="D305" s="40" t="s">
        <v>352</v>
      </c>
      <c r="E305" s="41"/>
      <c r="F305" s="41"/>
      <c r="G305" s="41"/>
      <c r="H305" s="41"/>
      <c r="I305" s="42" t="s">
        <v>353</v>
      </c>
      <c r="J305" s="43"/>
      <c r="K305" s="39"/>
      <c r="L305" s="38"/>
      <c r="M305" s="38"/>
      <c r="N305" s="38"/>
    </row>
    <row r="306" spans="1:14" x14ac:dyDescent="0.25">
      <c r="A306" s="45" t="s">
        <v>284</v>
      </c>
      <c r="B306" s="44" t="s">
        <v>125</v>
      </c>
      <c r="C306" s="44" t="s">
        <v>285</v>
      </c>
      <c r="D306" s="44" t="s">
        <v>286</v>
      </c>
      <c r="E306" s="45" t="s">
        <v>287</v>
      </c>
      <c r="F306" s="44" t="s">
        <v>285</v>
      </c>
      <c r="G306" s="44" t="s">
        <v>286</v>
      </c>
      <c r="H306" s="45" t="s">
        <v>288</v>
      </c>
      <c r="I306" s="44" t="s">
        <v>285</v>
      </c>
      <c r="J306" s="44" t="s">
        <v>286</v>
      </c>
      <c r="K306" s="46"/>
      <c r="L306" s="45" t="s">
        <v>288</v>
      </c>
      <c r="M306" s="44" t="s">
        <v>285</v>
      </c>
      <c r="N306" s="44" t="s">
        <v>286</v>
      </c>
    </row>
    <row r="307" spans="1:14" x14ac:dyDescent="0.25">
      <c r="A307" s="47" t="s">
        <v>141</v>
      </c>
      <c r="B307" s="48">
        <v>8</v>
      </c>
      <c r="C307" s="48">
        <v>104</v>
      </c>
      <c r="D307" s="48">
        <v>8227.3100000000013</v>
      </c>
      <c r="E307" s="47" t="s">
        <v>140</v>
      </c>
      <c r="F307" s="49">
        <v>0</v>
      </c>
      <c r="G307" s="48">
        <v>-805</v>
      </c>
      <c r="H307" s="47"/>
      <c r="I307" s="49"/>
      <c r="J307" s="49"/>
      <c r="L307" s="47" t="s">
        <v>146</v>
      </c>
      <c r="M307" s="48">
        <v>6.84</v>
      </c>
      <c r="N307" s="48">
        <v>523.29000000000008</v>
      </c>
    </row>
    <row r="308" spans="1:14" x14ac:dyDescent="0.25">
      <c r="A308" s="47" t="s">
        <v>145</v>
      </c>
      <c r="B308" s="48">
        <v>0.33</v>
      </c>
      <c r="C308" s="48">
        <v>6.44</v>
      </c>
      <c r="D308" s="48">
        <v>212.91999999999996</v>
      </c>
      <c r="E308" s="47" t="s">
        <v>147</v>
      </c>
      <c r="F308" s="48">
        <v>-6.84</v>
      </c>
      <c r="G308" s="48">
        <v>-523.29000000000008</v>
      </c>
      <c r="H308" s="47"/>
      <c r="I308" s="49"/>
      <c r="J308" s="49"/>
      <c r="L308" s="47" t="s">
        <v>142</v>
      </c>
      <c r="M308" s="48">
        <v>1.6</v>
      </c>
      <c r="N308" s="48">
        <v>122.37999999999998</v>
      </c>
    </row>
    <row r="309" spans="1:14" x14ac:dyDescent="0.25">
      <c r="A309" s="47"/>
      <c r="B309" s="49"/>
      <c r="C309" s="49"/>
      <c r="D309" s="49"/>
      <c r="E309" s="47" t="s">
        <v>143</v>
      </c>
      <c r="F309" s="48">
        <v>-1.6</v>
      </c>
      <c r="G309" s="48">
        <v>-122.37999999999998</v>
      </c>
      <c r="H309" s="47"/>
      <c r="I309" s="49"/>
      <c r="J309" s="49"/>
      <c r="L309" s="47" t="s">
        <v>138</v>
      </c>
      <c r="M309" s="49">
        <v>0</v>
      </c>
      <c r="N309" s="48">
        <v>42</v>
      </c>
    </row>
    <row r="310" spans="1:14" x14ac:dyDescent="0.25">
      <c r="A310" s="47"/>
      <c r="B310" s="49"/>
      <c r="C310" s="49"/>
      <c r="D310" s="49"/>
      <c r="E310" s="47" t="s">
        <v>144</v>
      </c>
      <c r="F310" s="49">
        <v>0</v>
      </c>
      <c r="G310" s="49">
        <v>0</v>
      </c>
      <c r="H310" s="47"/>
      <c r="I310" s="49"/>
      <c r="J310" s="49"/>
      <c r="L310" s="47" t="s">
        <v>136</v>
      </c>
      <c r="M310" s="49">
        <v>0</v>
      </c>
      <c r="N310" s="48">
        <v>203.00000000000003</v>
      </c>
    </row>
    <row r="311" spans="1:14" x14ac:dyDescent="0.25">
      <c r="A311" s="47"/>
      <c r="B311" s="49"/>
      <c r="C311" s="49"/>
      <c r="D311" s="49"/>
      <c r="E311" s="47" t="s">
        <v>137</v>
      </c>
      <c r="F311" s="49">
        <v>0</v>
      </c>
      <c r="G311" s="48">
        <v>-90.960000000000008</v>
      </c>
      <c r="H311" s="47"/>
      <c r="I311" s="49"/>
      <c r="J311" s="49"/>
      <c r="L311" s="47" t="s">
        <v>135</v>
      </c>
      <c r="M311" s="49">
        <v>0</v>
      </c>
      <c r="N311" s="48">
        <v>7.0000000000000009</v>
      </c>
    </row>
    <row r="312" spans="1:14" x14ac:dyDescent="0.25">
      <c r="A312" s="47"/>
      <c r="B312" s="49"/>
      <c r="C312" s="49"/>
      <c r="D312" s="49"/>
      <c r="E312" s="47" t="s">
        <v>133</v>
      </c>
      <c r="F312" s="48">
        <v>-0.99</v>
      </c>
      <c r="G312" s="48">
        <v>-75.959999999999994</v>
      </c>
      <c r="H312" s="47"/>
      <c r="I312" s="49"/>
      <c r="J312" s="49"/>
      <c r="L312" s="47"/>
      <c r="M312" s="49"/>
      <c r="N312" s="49"/>
    </row>
    <row r="313" spans="1:14" ht="15" customHeight="1" x14ac:dyDescent="0.25">
      <c r="A313" s="53" t="s">
        <v>289</v>
      </c>
      <c r="B313" s="51">
        <f>SUM(B306:B312)</f>
        <v>8.33</v>
      </c>
      <c r="C313" s="51">
        <f>SUM(C306:C312)</f>
        <v>110.44</v>
      </c>
      <c r="D313" s="51">
        <f>SUM(D306:D312)</f>
        <v>8440.2300000000014</v>
      </c>
      <c r="E313" s="53" t="s">
        <v>290</v>
      </c>
      <c r="F313" s="51">
        <f>SUM(F306:F312)</f>
        <v>-9.43</v>
      </c>
      <c r="G313" s="51">
        <f>SUM(G306:G312)</f>
        <v>-1617.59</v>
      </c>
      <c r="H313" s="53" t="s">
        <v>291</v>
      </c>
      <c r="I313" s="52">
        <f>SUM(I306:I312)</f>
        <v>0</v>
      </c>
      <c r="J313" s="52">
        <f>SUM(J306:J312)</f>
        <v>0</v>
      </c>
      <c r="K313" s="54"/>
      <c r="L313" s="53" t="s">
        <v>292</v>
      </c>
      <c r="M313" s="51">
        <f>SUM(M306:M312)</f>
        <v>8.44</v>
      </c>
      <c r="N313" s="51">
        <f>SUM(N306:N312)</f>
        <v>897.67000000000007</v>
      </c>
    </row>
    <row r="314" spans="1:14" ht="19.95" customHeight="1" x14ac:dyDescent="0.25">
      <c r="H314" s="53" t="s">
        <v>293</v>
      </c>
      <c r="I314" s="51">
        <f>C313+F313+I313</f>
        <v>101.00999999999999</v>
      </c>
      <c r="J314" s="51">
        <f>D313+G313+J313</f>
        <v>6822.6400000000012</v>
      </c>
    </row>
    <row r="315" spans="1:14" ht="15" customHeight="1" x14ac:dyDescent="0.25">
      <c r="A315" s="40" t="s">
        <v>193</v>
      </c>
      <c r="B315" s="41"/>
      <c r="C315" s="41"/>
      <c r="D315" s="40" t="s">
        <v>354</v>
      </c>
      <c r="E315" s="41"/>
      <c r="F315" s="41"/>
      <c r="G315" s="41"/>
      <c r="H315" s="41"/>
      <c r="I315" s="42" t="s">
        <v>355</v>
      </c>
      <c r="J315" s="43"/>
      <c r="K315" s="39"/>
      <c r="L315" s="38"/>
      <c r="M315" s="38"/>
      <c r="N315" s="38"/>
    </row>
    <row r="316" spans="1:14" x14ac:dyDescent="0.25">
      <c r="A316" s="45" t="s">
        <v>284</v>
      </c>
      <c r="B316" s="44" t="s">
        <v>125</v>
      </c>
      <c r="C316" s="44" t="s">
        <v>285</v>
      </c>
      <c r="D316" s="44" t="s">
        <v>286</v>
      </c>
      <c r="E316" s="45" t="s">
        <v>287</v>
      </c>
      <c r="F316" s="44" t="s">
        <v>285</v>
      </c>
      <c r="G316" s="44" t="s">
        <v>286</v>
      </c>
      <c r="H316" s="45" t="s">
        <v>288</v>
      </c>
      <c r="I316" s="44" t="s">
        <v>285</v>
      </c>
      <c r="J316" s="44" t="s">
        <v>286</v>
      </c>
      <c r="K316" s="46"/>
      <c r="L316" s="45" t="s">
        <v>288</v>
      </c>
      <c r="M316" s="44" t="s">
        <v>285</v>
      </c>
      <c r="N316" s="44" t="s">
        <v>286</v>
      </c>
    </row>
    <row r="317" spans="1:14" x14ac:dyDescent="0.25">
      <c r="A317" s="47" t="s">
        <v>141</v>
      </c>
      <c r="B317" s="48">
        <v>66.849999999999994</v>
      </c>
      <c r="C317" s="48">
        <v>735.35</v>
      </c>
      <c r="D317" s="48">
        <v>11940.940000000002</v>
      </c>
      <c r="E317" s="47" t="s">
        <v>140</v>
      </c>
      <c r="F317" s="48">
        <v>-90</v>
      </c>
      <c r="G317" s="48">
        <v>-1292</v>
      </c>
      <c r="H317" s="47"/>
      <c r="I317" s="49"/>
      <c r="J317" s="49"/>
      <c r="L317" s="47" t="s">
        <v>146</v>
      </c>
      <c r="M317" s="48">
        <v>59.78</v>
      </c>
      <c r="N317" s="48">
        <v>931.24</v>
      </c>
    </row>
    <row r="318" spans="1:14" x14ac:dyDescent="0.25">
      <c r="A318" s="47" t="s">
        <v>145</v>
      </c>
      <c r="B318" s="48">
        <v>13.87</v>
      </c>
      <c r="C318" s="48">
        <v>228.86</v>
      </c>
      <c r="D318" s="48">
        <v>3079.0999999999995</v>
      </c>
      <c r="E318" s="47" t="s">
        <v>147</v>
      </c>
      <c r="F318" s="48">
        <v>-59.78</v>
      </c>
      <c r="G318" s="48">
        <v>-931.24</v>
      </c>
      <c r="H318" s="47"/>
      <c r="I318" s="49"/>
      <c r="J318" s="49"/>
      <c r="L318" s="47" t="s">
        <v>142</v>
      </c>
      <c r="M318" s="48">
        <v>13.98</v>
      </c>
      <c r="N318" s="48">
        <v>217.78999999999996</v>
      </c>
    </row>
    <row r="319" spans="1:14" x14ac:dyDescent="0.25">
      <c r="A319" s="47"/>
      <c r="B319" s="49"/>
      <c r="C319" s="49"/>
      <c r="D319" s="49"/>
      <c r="E319" s="47" t="s">
        <v>143</v>
      </c>
      <c r="F319" s="48">
        <v>-13.98</v>
      </c>
      <c r="G319" s="48">
        <v>-217.78999999999996</v>
      </c>
      <c r="H319" s="47"/>
      <c r="I319" s="49"/>
      <c r="J319" s="49"/>
      <c r="L319" s="47" t="s">
        <v>138</v>
      </c>
      <c r="M319" s="49">
        <v>0</v>
      </c>
      <c r="N319" s="48">
        <v>42</v>
      </c>
    </row>
    <row r="320" spans="1:14" x14ac:dyDescent="0.25">
      <c r="A320" s="47"/>
      <c r="B320" s="49"/>
      <c r="C320" s="49"/>
      <c r="D320" s="49"/>
      <c r="E320" s="47" t="s">
        <v>144</v>
      </c>
      <c r="F320" s="49">
        <v>0</v>
      </c>
      <c r="G320" s="49">
        <v>0</v>
      </c>
      <c r="H320" s="47"/>
      <c r="I320" s="49"/>
      <c r="J320" s="49"/>
      <c r="L320" s="47" t="s">
        <v>136</v>
      </c>
      <c r="M320" s="49">
        <v>0</v>
      </c>
      <c r="N320" s="48">
        <v>203</v>
      </c>
    </row>
    <row r="321" spans="1:14" x14ac:dyDescent="0.25">
      <c r="A321" s="47"/>
      <c r="B321" s="49"/>
      <c r="C321" s="49"/>
      <c r="D321" s="49"/>
      <c r="E321" s="47" t="s">
        <v>137</v>
      </c>
      <c r="F321" s="48">
        <v>-11.27</v>
      </c>
      <c r="G321" s="48">
        <v>-160.5</v>
      </c>
      <c r="H321" s="47"/>
      <c r="I321" s="49"/>
      <c r="J321" s="49"/>
      <c r="L321" s="47" t="s">
        <v>135</v>
      </c>
      <c r="M321" s="49">
        <v>0</v>
      </c>
      <c r="N321" s="48">
        <v>7</v>
      </c>
    </row>
    <row r="322" spans="1:14" x14ac:dyDescent="0.25">
      <c r="A322" s="47"/>
      <c r="B322" s="49"/>
      <c r="C322" s="49"/>
      <c r="D322" s="49"/>
      <c r="E322" s="47" t="s">
        <v>133</v>
      </c>
      <c r="F322" s="48">
        <v>-8.68</v>
      </c>
      <c r="G322" s="48">
        <v>-135.18</v>
      </c>
      <c r="H322" s="47"/>
      <c r="I322" s="49"/>
      <c r="J322" s="49"/>
      <c r="L322" s="47"/>
      <c r="M322" s="49"/>
      <c r="N322" s="49"/>
    </row>
    <row r="323" spans="1:14" ht="15" customHeight="1" x14ac:dyDescent="0.25">
      <c r="A323" s="53" t="s">
        <v>289</v>
      </c>
      <c r="B323" s="51">
        <f>SUM(B316:B322)</f>
        <v>80.72</v>
      </c>
      <c r="C323" s="51">
        <f>SUM(C316:C322)</f>
        <v>964.21</v>
      </c>
      <c r="D323" s="51">
        <f>SUM(D316:D322)</f>
        <v>15020.04</v>
      </c>
      <c r="E323" s="53" t="s">
        <v>290</v>
      </c>
      <c r="F323" s="51">
        <f>SUM(F316:F322)</f>
        <v>-183.71</v>
      </c>
      <c r="G323" s="51">
        <f>SUM(G316:G322)</f>
        <v>-2736.7099999999996</v>
      </c>
      <c r="H323" s="53" t="s">
        <v>291</v>
      </c>
      <c r="I323" s="52">
        <f>SUM(I316:I322)</f>
        <v>0</v>
      </c>
      <c r="J323" s="52">
        <f>SUM(J316:J322)</f>
        <v>0</v>
      </c>
      <c r="K323" s="54"/>
      <c r="L323" s="53" t="s">
        <v>292</v>
      </c>
      <c r="M323" s="51">
        <f>SUM(M316:M322)</f>
        <v>73.760000000000005</v>
      </c>
      <c r="N323" s="51">
        <f>SUM(N316:N322)</f>
        <v>1401.03</v>
      </c>
    </row>
    <row r="324" spans="1:14" ht="19.95" customHeight="1" x14ac:dyDescent="0.25">
      <c r="H324" s="53" t="s">
        <v>293</v>
      </c>
      <c r="I324" s="51">
        <f>C323+F323+I323</f>
        <v>780.5</v>
      </c>
      <c r="J324" s="51">
        <f>D323+G323+J323</f>
        <v>12283.330000000002</v>
      </c>
    </row>
    <row r="325" spans="1:14" ht="15" customHeight="1" x14ac:dyDescent="0.25">
      <c r="A325" s="40" t="s">
        <v>195</v>
      </c>
      <c r="B325" s="41"/>
      <c r="C325" s="41"/>
      <c r="D325" s="40" t="s">
        <v>356</v>
      </c>
      <c r="E325" s="41"/>
      <c r="F325" s="41"/>
      <c r="G325" s="41"/>
      <c r="H325" s="41"/>
      <c r="I325" s="42" t="s">
        <v>357</v>
      </c>
      <c r="J325" s="43"/>
      <c r="K325" s="39"/>
      <c r="L325" s="38"/>
      <c r="M325" s="38"/>
      <c r="N325" s="38"/>
    </row>
    <row r="326" spans="1:14" x14ac:dyDescent="0.25">
      <c r="A326" s="45" t="s">
        <v>284</v>
      </c>
      <c r="B326" s="44" t="s">
        <v>125</v>
      </c>
      <c r="C326" s="44" t="s">
        <v>285</v>
      </c>
      <c r="D326" s="44" t="s">
        <v>286</v>
      </c>
      <c r="E326" s="45" t="s">
        <v>287</v>
      </c>
      <c r="F326" s="44" t="s">
        <v>285</v>
      </c>
      <c r="G326" s="44" t="s">
        <v>286</v>
      </c>
      <c r="H326" s="45" t="s">
        <v>288</v>
      </c>
      <c r="I326" s="44" t="s">
        <v>285</v>
      </c>
      <c r="J326" s="44" t="s">
        <v>286</v>
      </c>
      <c r="K326" s="46"/>
      <c r="L326" s="45" t="s">
        <v>288</v>
      </c>
      <c r="M326" s="44" t="s">
        <v>285</v>
      </c>
      <c r="N326" s="44" t="s">
        <v>286</v>
      </c>
    </row>
    <row r="327" spans="1:14" x14ac:dyDescent="0.25">
      <c r="A327" s="47" t="s">
        <v>141</v>
      </c>
      <c r="B327" s="48">
        <v>48.37</v>
      </c>
      <c r="C327" s="48">
        <v>532.07000000000005</v>
      </c>
      <c r="D327" s="48">
        <v>9262</v>
      </c>
      <c r="E327" s="47" t="s">
        <v>140</v>
      </c>
      <c r="F327" s="49">
        <v>0</v>
      </c>
      <c r="G327" s="49">
        <v>0</v>
      </c>
      <c r="H327" s="47" t="s">
        <v>199</v>
      </c>
      <c r="I327" s="49">
        <v>0</v>
      </c>
      <c r="J327" s="48">
        <v>-415.95000000000005</v>
      </c>
      <c r="L327" s="47" t="s">
        <v>146</v>
      </c>
      <c r="M327" s="48">
        <v>32.979999999999997</v>
      </c>
      <c r="N327" s="48">
        <v>598.22</v>
      </c>
    </row>
    <row r="328" spans="1:14" x14ac:dyDescent="0.25">
      <c r="A328" s="47" t="s">
        <v>145</v>
      </c>
      <c r="B328" s="49">
        <v>0</v>
      </c>
      <c r="C328" s="49">
        <v>0</v>
      </c>
      <c r="D328" s="48">
        <v>386.77</v>
      </c>
      <c r="E328" s="47" t="s">
        <v>147</v>
      </c>
      <c r="F328" s="48">
        <v>-32.979999999999997</v>
      </c>
      <c r="G328" s="48">
        <v>-598.22</v>
      </c>
      <c r="H328" s="47"/>
      <c r="I328" s="49"/>
      <c r="J328" s="49"/>
      <c r="L328" s="47" t="s">
        <v>142</v>
      </c>
      <c r="M328" s="48">
        <v>7.72</v>
      </c>
      <c r="N328" s="48">
        <v>139.91</v>
      </c>
    </row>
    <row r="329" spans="1:14" x14ac:dyDescent="0.25">
      <c r="A329" s="47"/>
      <c r="B329" s="49"/>
      <c r="C329" s="49"/>
      <c r="D329" s="49"/>
      <c r="E329" s="47" t="s">
        <v>143</v>
      </c>
      <c r="F329" s="48">
        <v>-7.72</v>
      </c>
      <c r="G329" s="48">
        <v>-139.91</v>
      </c>
      <c r="H329" s="47"/>
      <c r="I329" s="49"/>
      <c r="J329" s="49"/>
      <c r="L329" s="47" t="s">
        <v>138</v>
      </c>
      <c r="M329" s="49">
        <v>0</v>
      </c>
      <c r="N329" s="48">
        <v>42</v>
      </c>
    </row>
    <row r="330" spans="1:14" x14ac:dyDescent="0.25">
      <c r="A330" s="47"/>
      <c r="B330" s="49"/>
      <c r="C330" s="49"/>
      <c r="D330" s="49"/>
      <c r="E330" s="47" t="s">
        <v>144</v>
      </c>
      <c r="F330" s="49">
        <v>0</v>
      </c>
      <c r="G330" s="49">
        <v>0</v>
      </c>
      <c r="H330" s="47"/>
      <c r="I330" s="49"/>
      <c r="J330" s="49"/>
      <c r="L330" s="47" t="s">
        <v>136</v>
      </c>
      <c r="M330" s="49">
        <v>0</v>
      </c>
      <c r="N330" s="48">
        <v>203</v>
      </c>
    </row>
    <row r="331" spans="1:14" x14ac:dyDescent="0.25">
      <c r="A331" s="47"/>
      <c r="B331" s="49"/>
      <c r="C331" s="49"/>
      <c r="D331" s="49"/>
      <c r="E331" s="47" t="s">
        <v>137</v>
      </c>
      <c r="F331" s="49">
        <v>0</v>
      </c>
      <c r="G331" s="49">
        <v>0</v>
      </c>
      <c r="H331" s="47"/>
      <c r="I331" s="49"/>
      <c r="J331" s="49"/>
      <c r="L331" s="47" t="s">
        <v>135</v>
      </c>
      <c r="M331" s="49">
        <v>0</v>
      </c>
      <c r="N331" s="48">
        <v>7.0000000000000009</v>
      </c>
    </row>
    <row r="332" spans="1:14" x14ac:dyDescent="0.25">
      <c r="A332" s="47"/>
      <c r="B332" s="49"/>
      <c r="C332" s="49"/>
      <c r="D332" s="49"/>
      <c r="E332" s="47" t="s">
        <v>133</v>
      </c>
      <c r="F332" s="48">
        <v>-4.79</v>
      </c>
      <c r="G332" s="48">
        <v>-86.84</v>
      </c>
      <c r="H332" s="47"/>
      <c r="I332" s="49"/>
      <c r="J332" s="49"/>
      <c r="L332" s="47"/>
      <c r="M332" s="49"/>
      <c r="N332" s="49"/>
    </row>
    <row r="333" spans="1:14" ht="15" customHeight="1" x14ac:dyDescent="0.25">
      <c r="A333" s="53" t="s">
        <v>289</v>
      </c>
      <c r="B333" s="51">
        <f>SUM(B326:B332)</f>
        <v>48.37</v>
      </c>
      <c r="C333" s="51">
        <f>SUM(C326:C332)</f>
        <v>532.07000000000005</v>
      </c>
      <c r="D333" s="51">
        <f>SUM(D326:D332)</f>
        <v>9648.77</v>
      </c>
      <c r="E333" s="53" t="s">
        <v>290</v>
      </c>
      <c r="F333" s="51">
        <f>SUM(F326:F332)</f>
        <v>-45.489999999999995</v>
      </c>
      <c r="G333" s="51">
        <f>SUM(G326:G332)</f>
        <v>-824.97</v>
      </c>
      <c r="H333" s="53" t="s">
        <v>291</v>
      </c>
      <c r="I333" s="52">
        <f>SUM(I326:I332)</f>
        <v>0</v>
      </c>
      <c r="J333" s="51">
        <f>SUM(J326:J332)</f>
        <v>-415.95000000000005</v>
      </c>
      <c r="K333" s="54"/>
      <c r="L333" s="53" t="s">
        <v>292</v>
      </c>
      <c r="M333" s="51">
        <f>SUM(M326:M332)</f>
        <v>40.699999999999996</v>
      </c>
      <c r="N333" s="51">
        <f>SUM(N326:N332)</f>
        <v>990.13</v>
      </c>
    </row>
    <row r="334" spans="1:14" ht="19.95" customHeight="1" x14ac:dyDescent="0.25">
      <c r="H334" s="53" t="s">
        <v>293</v>
      </c>
      <c r="I334" s="51">
        <f>C333+F333+I333</f>
        <v>486.58000000000004</v>
      </c>
      <c r="J334" s="51">
        <f>D333+G333+J333</f>
        <v>8407.85</v>
      </c>
    </row>
    <row r="335" spans="1:14" ht="15" customHeight="1" x14ac:dyDescent="0.25">
      <c r="A335" s="40" t="s">
        <v>197</v>
      </c>
      <c r="B335" s="41"/>
      <c r="C335" s="41"/>
      <c r="D335" s="40" t="s">
        <v>358</v>
      </c>
      <c r="E335" s="41"/>
      <c r="F335" s="41"/>
      <c r="G335" s="41"/>
      <c r="H335" s="41"/>
      <c r="I335" s="42" t="s">
        <v>359</v>
      </c>
      <c r="J335" s="43"/>
      <c r="K335" s="39"/>
      <c r="L335" s="38"/>
      <c r="M335" s="38"/>
      <c r="N335" s="38"/>
    </row>
    <row r="336" spans="1:14" x14ac:dyDescent="0.25">
      <c r="A336" s="45" t="s">
        <v>284</v>
      </c>
      <c r="B336" s="44" t="s">
        <v>125</v>
      </c>
      <c r="C336" s="44" t="s">
        <v>285</v>
      </c>
      <c r="D336" s="44" t="s">
        <v>286</v>
      </c>
      <c r="E336" s="45" t="s">
        <v>287</v>
      </c>
      <c r="F336" s="44" t="s">
        <v>285</v>
      </c>
      <c r="G336" s="44" t="s">
        <v>286</v>
      </c>
      <c r="H336" s="45" t="s">
        <v>288</v>
      </c>
      <c r="I336" s="44" t="s">
        <v>285</v>
      </c>
      <c r="J336" s="44" t="s">
        <v>286</v>
      </c>
      <c r="K336" s="46"/>
      <c r="L336" s="45" t="s">
        <v>288</v>
      </c>
      <c r="M336" s="44" t="s">
        <v>285</v>
      </c>
      <c r="N336" s="44" t="s">
        <v>286</v>
      </c>
    </row>
    <row r="337" spans="1:14" x14ac:dyDescent="0.25">
      <c r="A337" s="47" t="s">
        <v>141</v>
      </c>
      <c r="B337" s="48">
        <v>73.34</v>
      </c>
      <c r="C337" s="48">
        <v>1320.12</v>
      </c>
      <c r="D337" s="48">
        <v>22922.82</v>
      </c>
      <c r="E337" s="47" t="s">
        <v>140</v>
      </c>
      <c r="F337" s="48">
        <v>-146</v>
      </c>
      <c r="G337" s="48">
        <v>-2444</v>
      </c>
      <c r="H337" s="47" t="s">
        <v>199</v>
      </c>
      <c r="I337" s="49">
        <v>0</v>
      </c>
      <c r="J337" s="49">
        <v>0</v>
      </c>
      <c r="L337" s="47" t="s">
        <v>146</v>
      </c>
      <c r="M337" s="48">
        <v>92.68</v>
      </c>
      <c r="N337" s="48">
        <v>1602.8</v>
      </c>
    </row>
    <row r="338" spans="1:14" x14ac:dyDescent="0.25">
      <c r="A338" s="47" t="s">
        <v>145</v>
      </c>
      <c r="B338" s="48">
        <v>6.47</v>
      </c>
      <c r="C338" s="48">
        <v>174.69</v>
      </c>
      <c r="D338" s="48">
        <v>2928.82</v>
      </c>
      <c r="E338" s="47" t="s">
        <v>147</v>
      </c>
      <c r="F338" s="48">
        <v>-92.68</v>
      </c>
      <c r="G338" s="48">
        <v>-1602.8</v>
      </c>
      <c r="H338" s="47"/>
      <c r="I338" s="49"/>
      <c r="J338" s="49"/>
      <c r="L338" s="47" t="s">
        <v>142</v>
      </c>
      <c r="M338" s="48">
        <v>21.68</v>
      </c>
      <c r="N338" s="48">
        <v>374.84999999999997</v>
      </c>
    </row>
    <row r="339" spans="1:14" x14ac:dyDescent="0.25">
      <c r="A339" s="47"/>
      <c r="B339" s="49"/>
      <c r="C339" s="49"/>
      <c r="D339" s="49"/>
      <c r="E339" s="47" t="s">
        <v>143</v>
      </c>
      <c r="F339" s="48">
        <v>-21.68</v>
      </c>
      <c r="G339" s="48">
        <v>-374.84999999999997</v>
      </c>
      <c r="H339" s="47"/>
      <c r="I339" s="49"/>
      <c r="J339" s="49"/>
      <c r="L339" s="47" t="s">
        <v>138</v>
      </c>
      <c r="M339" s="49">
        <v>0</v>
      </c>
      <c r="N339" s="48">
        <v>42</v>
      </c>
    </row>
    <row r="340" spans="1:14" x14ac:dyDescent="0.25">
      <c r="A340" s="47"/>
      <c r="B340" s="49"/>
      <c r="C340" s="49"/>
      <c r="D340" s="49"/>
      <c r="E340" s="47" t="s">
        <v>144</v>
      </c>
      <c r="F340" s="49">
        <v>0</v>
      </c>
      <c r="G340" s="49">
        <v>0</v>
      </c>
      <c r="H340" s="47"/>
      <c r="I340" s="49"/>
      <c r="J340" s="49"/>
      <c r="L340" s="47" t="s">
        <v>136</v>
      </c>
      <c r="M340" s="49">
        <v>0</v>
      </c>
      <c r="N340" s="48">
        <v>203</v>
      </c>
    </row>
    <row r="341" spans="1:14" x14ac:dyDescent="0.25">
      <c r="A341" s="47"/>
      <c r="B341" s="49"/>
      <c r="C341" s="49"/>
      <c r="D341" s="49"/>
      <c r="E341" s="47" t="s">
        <v>137</v>
      </c>
      <c r="F341" s="48">
        <v>-33.94</v>
      </c>
      <c r="G341" s="48">
        <v>-561.75</v>
      </c>
      <c r="H341" s="47"/>
      <c r="I341" s="49"/>
      <c r="J341" s="49"/>
      <c r="L341" s="47" t="s">
        <v>135</v>
      </c>
      <c r="M341" s="49">
        <v>0</v>
      </c>
      <c r="N341" s="48">
        <v>7</v>
      </c>
    </row>
    <row r="342" spans="1:14" x14ac:dyDescent="0.25">
      <c r="A342" s="47"/>
      <c r="B342" s="49"/>
      <c r="C342" s="49"/>
      <c r="D342" s="49"/>
      <c r="E342" s="47" t="s">
        <v>133</v>
      </c>
      <c r="F342" s="48">
        <v>-13.45</v>
      </c>
      <c r="G342" s="48">
        <v>-232.65999999999997</v>
      </c>
      <c r="H342" s="47"/>
      <c r="I342" s="49"/>
      <c r="J342" s="49"/>
      <c r="L342" s="47"/>
      <c r="M342" s="49"/>
      <c r="N342" s="49"/>
    </row>
    <row r="343" spans="1:14" ht="15" customHeight="1" x14ac:dyDescent="0.25">
      <c r="A343" s="53" t="s">
        <v>289</v>
      </c>
      <c r="B343" s="51">
        <f>SUM(B336:B342)</f>
        <v>79.81</v>
      </c>
      <c r="C343" s="51">
        <f>SUM(C336:C342)</f>
        <v>1494.81</v>
      </c>
      <c r="D343" s="51">
        <f>SUM(D336:D342)</f>
        <v>25851.64</v>
      </c>
      <c r="E343" s="53" t="s">
        <v>290</v>
      </c>
      <c r="F343" s="51">
        <f>SUM(F336:F342)</f>
        <v>-307.75</v>
      </c>
      <c r="G343" s="51">
        <f>SUM(G336:G342)</f>
        <v>-5216.0600000000004</v>
      </c>
      <c r="H343" s="53" t="s">
        <v>291</v>
      </c>
      <c r="I343" s="52">
        <f>SUM(I336:I342)</f>
        <v>0</v>
      </c>
      <c r="J343" s="52">
        <f>SUM(J336:J342)</f>
        <v>0</v>
      </c>
      <c r="K343" s="54"/>
      <c r="L343" s="53" t="s">
        <v>292</v>
      </c>
      <c r="M343" s="51">
        <f>SUM(M336:M342)</f>
        <v>114.36000000000001</v>
      </c>
      <c r="N343" s="51">
        <f>SUM(N336:N342)</f>
        <v>2229.6499999999996</v>
      </c>
    </row>
    <row r="344" spans="1:14" ht="19.95" customHeight="1" x14ac:dyDescent="0.25">
      <c r="H344" s="53" t="s">
        <v>293</v>
      </c>
      <c r="I344" s="51">
        <f>C343+F343+I343</f>
        <v>1187.06</v>
      </c>
      <c r="J344" s="51">
        <f>D343+G343+J343</f>
        <v>20635.579999999998</v>
      </c>
    </row>
    <row r="345" spans="1:14" ht="15" customHeight="1" x14ac:dyDescent="0.25">
      <c r="A345" s="40" t="s">
        <v>272</v>
      </c>
      <c r="B345" s="41"/>
      <c r="C345" s="41"/>
      <c r="D345" s="40" t="s">
        <v>360</v>
      </c>
      <c r="E345" s="41"/>
      <c r="F345" s="41"/>
      <c r="G345" s="41"/>
      <c r="H345" s="41"/>
      <c r="I345" s="42" t="s">
        <v>361</v>
      </c>
      <c r="J345" s="43"/>
      <c r="K345" s="39"/>
      <c r="L345" s="38"/>
      <c r="M345" s="38"/>
      <c r="N345" s="38"/>
    </row>
    <row r="346" spans="1:14" x14ac:dyDescent="0.25">
      <c r="A346" s="45" t="s">
        <v>284</v>
      </c>
      <c r="B346" s="44" t="s">
        <v>125</v>
      </c>
      <c r="C346" s="44" t="s">
        <v>285</v>
      </c>
      <c r="D346" s="44" t="s">
        <v>286</v>
      </c>
      <c r="E346" s="45" t="s">
        <v>287</v>
      </c>
      <c r="F346" s="44" t="s">
        <v>285</v>
      </c>
      <c r="G346" s="44" t="s">
        <v>286</v>
      </c>
      <c r="H346" s="45" t="s">
        <v>288</v>
      </c>
      <c r="I346" s="44" t="s">
        <v>285</v>
      </c>
      <c r="J346" s="44" t="s">
        <v>286</v>
      </c>
      <c r="K346" s="46"/>
      <c r="L346" s="45" t="s">
        <v>288</v>
      </c>
      <c r="M346" s="44" t="s">
        <v>285</v>
      </c>
      <c r="N346" s="44" t="s">
        <v>286</v>
      </c>
    </row>
    <row r="347" spans="1:14" x14ac:dyDescent="0.25">
      <c r="A347" s="47" t="s">
        <v>141</v>
      </c>
      <c r="B347" s="48">
        <v>75.37</v>
      </c>
      <c r="C347" s="48">
        <v>866.76</v>
      </c>
      <c r="D347" s="48">
        <v>1774.23</v>
      </c>
      <c r="E347" s="47" t="s">
        <v>140</v>
      </c>
      <c r="F347" s="48">
        <v>-36</v>
      </c>
      <c r="G347" s="48">
        <v>-73</v>
      </c>
      <c r="H347" s="47"/>
      <c r="I347" s="49"/>
      <c r="J347" s="49"/>
      <c r="L347" s="47" t="s">
        <v>146</v>
      </c>
      <c r="M347" s="48">
        <v>56.79</v>
      </c>
      <c r="N347" s="48">
        <v>113.99000000000001</v>
      </c>
    </row>
    <row r="348" spans="1:14" x14ac:dyDescent="0.25">
      <c r="A348" s="47" t="s">
        <v>145</v>
      </c>
      <c r="B348" s="48">
        <v>2.85</v>
      </c>
      <c r="C348" s="48">
        <v>49.16</v>
      </c>
      <c r="D348" s="48">
        <v>64.34</v>
      </c>
      <c r="E348" s="47" t="s">
        <v>147</v>
      </c>
      <c r="F348" s="48">
        <v>-56.79</v>
      </c>
      <c r="G348" s="48">
        <v>-113.99000000000001</v>
      </c>
      <c r="H348" s="47"/>
      <c r="I348" s="49"/>
      <c r="J348" s="49"/>
      <c r="L348" s="47" t="s">
        <v>142</v>
      </c>
      <c r="M348" s="48">
        <v>13.28</v>
      </c>
      <c r="N348" s="48">
        <v>26.66</v>
      </c>
    </row>
    <row r="349" spans="1:14" x14ac:dyDescent="0.25">
      <c r="A349" s="47"/>
      <c r="B349" s="49"/>
      <c r="C349" s="49"/>
      <c r="D349" s="49"/>
      <c r="E349" s="47" t="s">
        <v>143</v>
      </c>
      <c r="F349" s="48">
        <v>-13.28</v>
      </c>
      <c r="G349" s="48">
        <v>-26.66</v>
      </c>
      <c r="H349" s="47"/>
      <c r="I349" s="49"/>
      <c r="J349" s="49"/>
      <c r="L349" s="47" t="s">
        <v>138</v>
      </c>
      <c r="M349" s="48">
        <v>5.49</v>
      </c>
      <c r="N349" s="48">
        <v>11.030000000000001</v>
      </c>
    </row>
    <row r="350" spans="1:14" x14ac:dyDescent="0.25">
      <c r="A350" s="47"/>
      <c r="B350" s="49"/>
      <c r="C350" s="49"/>
      <c r="D350" s="49"/>
      <c r="E350" s="47" t="s">
        <v>144</v>
      </c>
      <c r="F350" s="49">
        <v>0</v>
      </c>
      <c r="G350" s="49">
        <v>0</v>
      </c>
      <c r="H350" s="47"/>
      <c r="I350" s="49"/>
      <c r="J350" s="49"/>
      <c r="L350" s="47" t="s">
        <v>136</v>
      </c>
      <c r="M350" s="48">
        <v>26.56</v>
      </c>
      <c r="N350" s="48">
        <v>53.32</v>
      </c>
    </row>
    <row r="351" spans="1:14" x14ac:dyDescent="0.25">
      <c r="A351" s="47"/>
      <c r="B351" s="49"/>
      <c r="C351" s="49"/>
      <c r="D351" s="49"/>
      <c r="E351" s="47" t="s">
        <v>137</v>
      </c>
      <c r="F351" s="49">
        <v>0</v>
      </c>
      <c r="G351" s="48">
        <v>-0.05</v>
      </c>
      <c r="H351" s="47"/>
      <c r="I351" s="49"/>
      <c r="J351" s="49"/>
      <c r="L351" s="47" t="s">
        <v>135</v>
      </c>
      <c r="M351" s="48">
        <v>0.92</v>
      </c>
      <c r="N351" s="48">
        <v>1.84</v>
      </c>
    </row>
    <row r="352" spans="1:14" x14ac:dyDescent="0.25">
      <c r="A352" s="47"/>
      <c r="B352" s="49"/>
      <c r="C352" s="49"/>
      <c r="D352" s="49"/>
      <c r="E352" s="47" t="s">
        <v>133</v>
      </c>
      <c r="F352" s="48">
        <v>-8.25</v>
      </c>
      <c r="G352" s="48">
        <v>-16.55</v>
      </c>
      <c r="H352" s="47"/>
      <c r="I352" s="49"/>
      <c r="J352" s="49"/>
      <c r="L352" s="47"/>
      <c r="M352" s="49"/>
      <c r="N352" s="49"/>
    </row>
    <row r="353" spans="1:14" ht="15" customHeight="1" x14ac:dyDescent="0.25">
      <c r="A353" s="53" t="s">
        <v>289</v>
      </c>
      <c r="B353" s="51">
        <f>SUM(B346:B352)</f>
        <v>78.22</v>
      </c>
      <c r="C353" s="51">
        <f>SUM(C346:C352)</f>
        <v>915.92</v>
      </c>
      <c r="D353" s="51">
        <f>SUM(D346:D352)</f>
        <v>1838.57</v>
      </c>
      <c r="E353" s="53" t="s">
        <v>290</v>
      </c>
      <c r="F353" s="51">
        <f>SUM(F346:F352)</f>
        <v>-114.32</v>
      </c>
      <c r="G353" s="51">
        <f>SUM(G346:G352)</f>
        <v>-230.25000000000003</v>
      </c>
      <c r="H353" s="53" t="s">
        <v>291</v>
      </c>
      <c r="I353" s="52">
        <f>SUM(I346:I352)</f>
        <v>0</v>
      </c>
      <c r="J353" s="52">
        <f>SUM(J346:J352)</f>
        <v>0</v>
      </c>
      <c r="K353" s="54"/>
      <c r="L353" s="53" t="s">
        <v>292</v>
      </c>
      <c r="M353" s="51">
        <f>SUM(M346:M352)</f>
        <v>103.03999999999999</v>
      </c>
      <c r="N353" s="51">
        <f>SUM(N346:N352)</f>
        <v>206.84</v>
      </c>
    </row>
    <row r="354" spans="1:14" ht="19.95" customHeight="1" x14ac:dyDescent="0.25">
      <c r="H354" s="53" t="s">
        <v>293</v>
      </c>
      <c r="I354" s="51">
        <f>C353+F353+I353</f>
        <v>801.59999999999991</v>
      </c>
      <c r="J354" s="51">
        <f>D353+G353+J353</f>
        <v>1608.32</v>
      </c>
    </row>
    <row r="355" spans="1:14" ht="15" customHeight="1" x14ac:dyDescent="0.25">
      <c r="A355" s="40" t="s">
        <v>200</v>
      </c>
      <c r="B355" s="41"/>
      <c r="C355" s="41"/>
      <c r="D355" s="40" t="s">
        <v>362</v>
      </c>
      <c r="E355" s="41"/>
      <c r="F355" s="41"/>
      <c r="G355" s="41"/>
      <c r="H355" s="41"/>
      <c r="I355" s="42" t="s">
        <v>363</v>
      </c>
      <c r="J355" s="43"/>
      <c r="K355" s="39"/>
      <c r="L355" s="38"/>
      <c r="M355" s="38"/>
      <c r="N355" s="38"/>
    </row>
    <row r="356" spans="1:14" x14ac:dyDescent="0.25">
      <c r="A356" s="45" t="s">
        <v>284</v>
      </c>
      <c r="B356" s="44" t="s">
        <v>125</v>
      </c>
      <c r="C356" s="44" t="s">
        <v>285</v>
      </c>
      <c r="D356" s="44" t="s">
        <v>286</v>
      </c>
      <c r="E356" s="45" t="s">
        <v>287</v>
      </c>
      <c r="F356" s="44" t="s">
        <v>285</v>
      </c>
      <c r="G356" s="44" t="s">
        <v>286</v>
      </c>
      <c r="H356" s="45" t="s">
        <v>288</v>
      </c>
      <c r="I356" s="44" t="s">
        <v>285</v>
      </c>
      <c r="J356" s="44" t="s">
        <v>286</v>
      </c>
      <c r="K356" s="46"/>
      <c r="L356" s="45" t="s">
        <v>288</v>
      </c>
      <c r="M356" s="44" t="s">
        <v>285</v>
      </c>
      <c r="N356" s="44" t="s">
        <v>286</v>
      </c>
    </row>
    <row r="357" spans="1:14" x14ac:dyDescent="0.25">
      <c r="A357" s="47" t="s">
        <v>141</v>
      </c>
      <c r="B357" s="48">
        <v>47.58</v>
      </c>
      <c r="C357" s="48">
        <v>570.96</v>
      </c>
      <c r="D357" s="48">
        <v>10379.279999999999</v>
      </c>
      <c r="E357" s="47" t="s">
        <v>140</v>
      </c>
      <c r="F357" s="48">
        <v>-46</v>
      </c>
      <c r="G357" s="48">
        <v>-720</v>
      </c>
      <c r="H357" s="47"/>
      <c r="I357" s="49"/>
      <c r="J357" s="49"/>
      <c r="L357" s="47" t="s">
        <v>146</v>
      </c>
      <c r="M357" s="48">
        <v>41.72</v>
      </c>
      <c r="N357" s="48">
        <v>686.9</v>
      </c>
    </row>
    <row r="358" spans="1:14" x14ac:dyDescent="0.25">
      <c r="A358" s="47" t="s">
        <v>250</v>
      </c>
      <c r="B358" s="48">
        <v>8</v>
      </c>
      <c r="C358" s="48">
        <v>96</v>
      </c>
      <c r="D358" s="48">
        <v>192</v>
      </c>
      <c r="E358" s="47" t="s">
        <v>147</v>
      </c>
      <c r="F358" s="48">
        <v>-41.72</v>
      </c>
      <c r="G358" s="48">
        <v>-686.9</v>
      </c>
      <c r="H358" s="47"/>
      <c r="I358" s="49"/>
      <c r="J358" s="49"/>
      <c r="L358" s="47" t="s">
        <v>142</v>
      </c>
      <c r="M358" s="48">
        <v>9.76</v>
      </c>
      <c r="N358" s="48">
        <v>160.64999999999998</v>
      </c>
    </row>
    <row r="359" spans="1:14" x14ac:dyDescent="0.25">
      <c r="A359" s="47" t="s">
        <v>145</v>
      </c>
      <c r="B359" s="48">
        <v>0.33</v>
      </c>
      <c r="C359" s="48">
        <v>5.94</v>
      </c>
      <c r="D359" s="48">
        <v>507.78000000000003</v>
      </c>
      <c r="E359" s="47" t="s">
        <v>143</v>
      </c>
      <c r="F359" s="48">
        <v>-9.76</v>
      </c>
      <c r="G359" s="48">
        <v>-160.64999999999998</v>
      </c>
      <c r="H359" s="47"/>
      <c r="I359" s="49"/>
      <c r="J359" s="49"/>
      <c r="L359" s="47" t="s">
        <v>138</v>
      </c>
      <c r="M359" s="49">
        <v>0</v>
      </c>
      <c r="N359" s="48">
        <v>42</v>
      </c>
    </row>
    <row r="360" spans="1:14" x14ac:dyDescent="0.25">
      <c r="A360" s="47"/>
      <c r="B360" s="49"/>
      <c r="C360" s="49"/>
      <c r="D360" s="49"/>
      <c r="E360" s="47" t="s">
        <v>144</v>
      </c>
      <c r="F360" s="49">
        <v>0</v>
      </c>
      <c r="G360" s="49">
        <v>0</v>
      </c>
      <c r="H360" s="47"/>
      <c r="I360" s="49"/>
      <c r="J360" s="49"/>
      <c r="L360" s="47" t="s">
        <v>136</v>
      </c>
      <c r="M360" s="49">
        <v>0</v>
      </c>
      <c r="N360" s="48">
        <v>203</v>
      </c>
    </row>
    <row r="361" spans="1:14" x14ac:dyDescent="0.25">
      <c r="A361" s="47"/>
      <c r="B361" s="49"/>
      <c r="C361" s="49"/>
      <c r="D361" s="49"/>
      <c r="E361" s="47" t="s">
        <v>137</v>
      </c>
      <c r="F361" s="48">
        <v>-3.22</v>
      </c>
      <c r="G361" s="48">
        <v>-44.269999999999996</v>
      </c>
      <c r="H361" s="47"/>
      <c r="I361" s="49"/>
      <c r="J361" s="49"/>
      <c r="L361" s="47" t="s">
        <v>135</v>
      </c>
      <c r="M361" s="49">
        <v>0</v>
      </c>
      <c r="N361" s="48">
        <v>7.0000000000000009</v>
      </c>
    </row>
    <row r="362" spans="1:14" x14ac:dyDescent="0.25">
      <c r="A362" s="47"/>
      <c r="B362" s="49"/>
      <c r="C362" s="49"/>
      <c r="D362" s="49"/>
      <c r="E362" s="47" t="s">
        <v>133</v>
      </c>
      <c r="F362" s="48">
        <v>-6.05</v>
      </c>
      <c r="G362" s="48">
        <v>-99.71</v>
      </c>
      <c r="H362" s="47"/>
      <c r="I362" s="49"/>
      <c r="J362" s="49"/>
      <c r="L362" s="47"/>
      <c r="M362" s="49"/>
      <c r="N362" s="49"/>
    </row>
    <row r="363" spans="1:14" ht="15" customHeight="1" x14ac:dyDescent="0.25">
      <c r="A363" s="53" t="s">
        <v>289</v>
      </c>
      <c r="B363" s="51">
        <f>SUM(B356:B362)</f>
        <v>55.91</v>
      </c>
      <c r="C363" s="51">
        <f>SUM(C356:C362)</f>
        <v>672.90000000000009</v>
      </c>
      <c r="D363" s="51">
        <f>SUM(D356:D362)</f>
        <v>11079.06</v>
      </c>
      <c r="E363" s="53" t="s">
        <v>290</v>
      </c>
      <c r="F363" s="51">
        <f>SUM(F356:F362)</f>
        <v>-106.75</v>
      </c>
      <c r="G363" s="51">
        <f>SUM(G356:G362)</f>
        <v>-1711.5300000000002</v>
      </c>
      <c r="H363" s="53" t="s">
        <v>291</v>
      </c>
      <c r="I363" s="52">
        <f>SUM(I356:I362)</f>
        <v>0</v>
      </c>
      <c r="J363" s="52">
        <f>SUM(J356:J362)</f>
        <v>0</v>
      </c>
      <c r="K363" s="54"/>
      <c r="L363" s="53" t="s">
        <v>292</v>
      </c>
      <c r="M363" s="51">
        <f>SUM(M356:M362)</f>
        <v>51.48</v>
      </c>
      <c r="N363" s="51">
        <f>SUM(N356:N362)</f>
        <v>1099.55</v>
      </c>
    </row>
    <row r="364" spans="1:14" ht="19.95" customHeight="1" x14ac:dyDescent="0.25">
      <c r="H364" s="53" t="s">
        <v>293</v>
      </c>
      <c r="I364" s="51">
        <f>C363+F363+I363</f>
        <v>566.15000000000009</v>
      </c>
      <c r="J364" s="51">
        <f>D363+G363+J363</f>
        <v>9367.5299999999988</v>
      </c>
    </row>
    <row r="365" spans="1:14" ht="15" customHeight="1" x14ac:dyDescent="0.25">
      <c r="A365" s="40" t="s">
        <v>202</v>
      </c>
      <c r="B365" s="41"/>
      <c r="C365" s="41"/>
      <c r="D365" s="40" t="s">
        <v>364</v>
      </c>
      <c r="E365" s="41"/>
      <c r="F365" s="41"/>
      <c r="G365" s="41"/>
      <c r="H365" s="41"/>
      <c r="I365" s="42" t="s">
        <v>365</v>
      </c>
      <c r="J365" s="43"/>
      <c r="K365" s="39"/>
      <c r="L365" s="38"/>
      <c r="M365" s="38"/>
      <c r="N365" s="38"/>
    </row>
    <row r="366" spans="1:14" x14ac:dyDescent="0.25">
      <c r="A366" s="45" t="s">
        <v>284</v>
      </c>
      <c r="B366" s="44" t="s">
        <v>125</v>
      </c>
      <c r="C366" s="44" t="s">
        <v>285</v>
      </c>
      <c r="D366" s="44" t="s">
        <v>286</v>
      </c>
      <c r="E366" s="45" t="s">
        <v>287</v>
      </c>
      <c r="F366" s="44" t="s">
        <v>285</v>
      </c>
      <c r="G366" s="44" t="s">
        <v>286</v>
      </c>
      <c r="H366" s="45" t="s">
        <v>288</v>
      </c>
      <c r="I366" s="44" t="s">
        <v>285</v>
      </c>
      <c r="J366" s="44" t="s">
        <v>286</v>
      </c>
      <c r="K366" s="46"/>
      <c r="L366" s="45" t="s">
        <v>288</v>
      </c>
      <c r="M366" s="44" t="s">
        <v>285</v>
      </c>
      <c r="N366" s="44" t="s">
        <v>286</v>
      </c>
    </row>
    <row r="367" spans="1:14" x14ac:dyDescent="0.25">
      <c r="A367" s="47" t="s">
        <v>141</v>
      </c>
      <c r="B367" s="48">
        <v>7.65</v>
      </c>
      <c r="C367" s="48">
        <v>84.15</v>
      </c>
      <c r="D367" s="48">
        <v>4619.5599999999986</v>
      </c>
      <c r="E367" s="47" t="s">
        <v>140</v>
      </c>
      <c r="F367" s="49">
        <v>0</v>
      </c>
      <c r="G367" s="48">
        <v>-298</v>
      </c>
      <c r="H367" s="47"/>
      <c r="I367" s="49"/>
      <c r="J367" s="49"/>
      <c r="L367" s="47" t="s">
        <v>146</v>
      </c>
      <c r="M367" s="48">
        <v>5.22</v>
      </c>
      <c r="N367" s="48">
        <v>335.22000000000008</v>
      </c>
    </row>
    <row r="368" spans="1:14" x14ac:dyDescent="0.25">
      <c r="A368" s="47" t="s">
        <v>250</v>
      </c>
      <c r="B368" s="49">
        <v>0</v>
      </c>
      <c r="C368" s="49">
        <v>0</v>
      </c>
      <c r="D368" s="48">
        <v>264</v>
      </c>
      <c r="E368" s="47" t="s">
        <v>147</v>
      </c>
      <c r="F368" s="48">
        <v>-5.22</v>
      </c>
      <c r="G368" s="48">
        <v>-335.22000000000008</v>
      </c>
      <c r="H368" s="47"/>
      <c r="I368" s="49"/>
      <c r="J368" s="49"/>
      <c r="L368" s="47" t="s">
        <v>142</v>
      </c>
      <c r="M368" s="48">
        <v>1.22</v>
      </c>
      <c r="N368" s="48">
        <v>78.399999999999991</v>
      </c>
    </row>
    <row r="369" spans="1:14" x14ac:dyDescent="0.25">
      <c r="A369" s="47" t="s">
        <v>145</v>
      </c>
      <c r="B369" s="49">
        <v>0</v>
      </c>
      <c r="C369" s="49">
        <v>0</v>
      </c>
      <c r="D369" s="48">
        <v>523.23</v>
      </c>
      <c r="E369" s="47" t="s">
        <v>143</v>
      </c>
      <c r="F369" s="48">
        <v>-1.22</v>
      </c>
      <c r="G369" s="48">
        <v>-78.399999999999991</v>
      </c>
      <c r="H369" s="47"/>
      <c r="I369" s="49"/>
      <c r="J369" s="49"/>
      <c r="L369" s="47" t="s">
        <v>138</v>
      </c>
      <c r="M369" s="48">
        <v>0.5</v>
      </c>
      <c r="N369" s="48">
        <v>32.440000000000005</v>
      </c>
    </row>
    <row r="370" spans="1:14" x14ac:dyDescent="0.25">
      <c r="A370" s="47"/>
      <c r="B370" s="49"/>
      <c r="C370" s="49"/>
      <c r="D370" s="49"/>
      <c r="E370" s="47" t="s">
        <v>144</v>
      </c>
      <c r="F370" s="49">
        <v>0</v>
      </c>
      <c r="G370" s="49">
        <v>0</v>
      </c>
      <c r="H370" s="47"/>
      <c r="I370" s="49"/>
      <c r="J370" s="49"/>
      <c r="L370" s="47" t="s">
        <v>136</v>
      </c>
      <c r="M370" s="48">
        <v>2.44</v>
      </c>
      <c r="N370" s="48">
        <v>156.79999999999998</v>
      </c>
    </row>
    <row r="371" spans="1:14" x14ac:dyDescent="0.25">
      <c r="A371" s="47"/>
      <c r="B371" s="49"/>
      <c r="C371" s="49"/>
      <c r="D371" s="49"/>
      <c r="E371" s="47" t="s">
        <v>137</v>
      </c>
      <c r="F371" s="49">
        <v>0</v>
      </c>
      <c r="G371" s="48">
        <v>-12.379999999999999</v>
      </c>
      <c r="H371" s="47"/>
      <c r="I371" s="49"/>
      <c r="J371" s="49"/>
      <c r="L371" s="47" t="s">
        <v>135</v>
      </c>
      <c r="M371" s="48">
        <v>0.09</v>
      </c>
      <c r="N371" s="48">
        <v>5.4099999999999993</v>
      </c>
    </row>
    <row r="372" spans="1:14" x14ac:dyDescent="0.25">
      <c r="A372" s="47"/>
      <c r="B372" s="49"/>
      <c r="C372" s="49"/>
      <c r="D372" s="49"/>
      <c r="E372" s="47" t="s">
        <v>133</v>
      </c>
      <c r="F372" s="48">
        <v>-0.76</v>
      </c>
      <c r="G372" s="48">
        <v>-48.660000000000011</v>
      </c>
      <c r="H372" s="47"/>
      <c r="I372" s="49"/>
      <c r="J372" s="49"/>
      <c r="L372" s="47"/>
      <c r="M372" s="49"/>
      <c r="N372" s="49"/>
    </row>
    <row r="373" spans="1:14" ht="15" customHeight="1" x14ac:dyDescent="0.25">
      <c r="A373" s="53" t="s">
        <v>289</v>
      </c>
      <c r="B373" s="51">
        <f>SUM(B366:B372)</f>
        <v>7.65</v>
      </c>
      <c r="C373" s="51">
        <f>SUM(C366:C372)</f>
        <v>84.15</v>
      </c>
      <c r="D373" s="51">
        <f>SUM(D366:D372)</f>
        <v>5406.7899999999991</v>
      </c>
      <c r="E373" s="53" t="s">
        <v>290</v>
      </c>
      <c r="F373" s="51">
        <f>SUM(F366:F372)</f>
        <v>-7.1999999999999993</v>
      </c>
      <c r="G373" s="51">
        <f>SUM(G366:G372)</f>
        <v>-772.66</v>
      </c>
      <c r="H373" s="53" t="s">
        <v>291</v>
      </c>
      <c r="I373" s="52">
        <f>SUM(I366:I372)</f>
        <v>0</v>
      </c>
      <c r="J373" s="52">
        <f>SUM(J366:J372)</f>
        <v>0</v>
      </c>
      <c r="K373" s="54"/>
      <c r="L373" s="53" t="s">
        <v>292</v>
      </c>
      <c r="M373" s="51">
        <f>SUM(M366:M372)</f>
        <v>9.4699999999999989</v>
      </c>
      <c r="N373" s="51">
        <f>SUM(N366:N372)</f>
        <v>608.27</v>
      </c>
    </row>
    <row r="374" spans="1:14" ht="19.95" customHeight="1" x14ac:dyDescent="0.25">
      <c r="H374" s="53" t="s">
        <v>293</v>
      </c>
      <c r="I374" s="51">
        <f>C373+F373+I373</f>
        <v>76.95</v>
      </c>
      <c r="J374" s="51">
        <f>D373+G373+J373</f>
        <v>4634.1299999999992</v>
      </c>
    </row>
    <row r="375" spans="1:14" ht="15" customHeight="1" x14ac:dyDescent="0.25">
      <c r="A375" s="40" t="s">
        <v>204</v>
      </c>
      <c r="B375" s="41"/>
      <c r="C375" s="41"/>
      <c r="D375" s="40" t="s">
        <v>366</v>
      </c>
      <c r="E375" s="41"/>
      <c r="F375" s="41"/>
      <c r="G375" s="41"/>
      <c r="H375" s="41"/>
      <c r="I375" s="42" t="s">
        <v>367</v>
      </c>
      <c r="J375" s="43"/>
      <c r="K375" s="39"/>
      <c r="L375" s="38"/>
      <c r="M375" s="38"/>
      <c r="N375" s="38"/>
    </row>
    <row r="376" spans="1:14" x14ac:dyDescent="0.25">
      <c r="A376" s="45" t="s">
        <v>284</v>
      </c>
      <c r="B376" s="44" t="s">
        <v>125</v>
      </c>
      <c r="C376" s="44" t="s">
        <v>285</v>
      </c>
      <c r="D376" s="44" t="s">
        <v>286</v>
      </c>
      <c r="E376" s="45" t="s">
        <v>287</v>
      </c>
      <c r="F376" s="44" t="s">
        <v>285</v>
      </c>
      <c r="G376" s="44" t="s">
        <v>286</v>
      </c>
      <c r="H376" s="45" t="s">
        <v>288</v>
      </c>
      <c r="I376" s="44" t="s">
        <v>285</v>
      </c>
      <c r="J376" s="44" t="s">
        <v>286</v>
      </c>
      <c r="K376" s="46"/>
      <c r="L376" s="45" t="s">
        <v>288</v>
      </c>
      <c r="M376" s="44" t="s">
        <v>285</v>
      </c>
      <c r="N376" s="44" t="s">
        <v>286</v>
      </c>
    </row>
    <row r="377" spans="1:14" x14ac:dyDescent="0.25">
      <c r="A377" s="47" t="s">
        <v>141</v>
      </c>
      <c r="B377" s="48">
        <v>50.22</v>
      </c>
      <c r="C377" s="48">
        <v>677.97</v>
      </c>
      <c r="D377" s="48">
        <v>10347.81</v>
      </c>
      <c r="E377" s="47" t="s">
        <v>140</v>
      </c>
      <c r="F377" s="48">
        <v>-47</v>
      </c>
      <c r="G377" s="48">
        <v>-611</v>
      </c>
      <c r="H377" s="47"/>
      <c r="I377" s="49"/>
      <c r="J377" s="49"/>
      <c r="L377" s="47" t="s">
        <v>146</v>
      </c>
      <c r="M377" s="48">
        <v>42.04</v>
      </c>
      <c r="N377" s="48">
        <v>641.98</v>
      </c>
    </row>
    <row r="378" spans="1:14" x14ac:dyDescent="0.25">
      <c r="A378" s="47" t="s">
        <v>145</v>
      </c>
      <c r="B378" s="49">
        <v>0</v>
      </c>
      <c r="C378" s="49">
        <v>0</v>
      </c>
      <c r="D378" s="48">
        <v>6.68</v>
      </c>
      <c r="E378" s="47" t="s">
        <v>147</v>
      </c>
      <c r="F378" s="48">
        <v>-42.04</v>
      </c>
      <c r="G378" s="48">
        <v>-641.98</v>
      </c>
      <c r="H378" s="47"/>
      <c r="I378" s="49"/>
      <c r="J378" s="49"/>
      <c r="L378" s="47" t="s">
        <v>142</v>
      </c>
      <c r="M378" s="48">
        <v>9.83</v>
      </c>
      <c r="N378" s="48">
        <v>150.14000000000001</v>
      </c>
    </row>
    <row r="379" spans="1:14" x14ac:dyDescent="0.25">
      <c r="A379" s="47"/>
      <c r="B379" s="49"/>
      <c r="C379" s="49"/>
      <c r="D379" s="49"/>
      <c r="E379" s="47" t="s">
        <v>143</v>
      </c>
      <c r="F379" s="48">
        <v>-9.83</v>
      </c>
      <c r="G379" s="48">
        <v>-150.14000000000001</v>
      </c>
      <c r="H379" s="47"/>
      <c r="I379" s="49"/>
      <c r="J379" s="49"/>
      <c r="L379" s="47" t="s">
        <v>138</v>
      </c>
      <c r="M379" s="49">
        <v>0</v>
      </c>
      <c r="N379" s="48">
        <v>41.999999999999993</v>
      </c>
    </row>
    <row r="380" spans="1:14" x14ac:dyDescent="0.25">
      <c r="A380" s="47"/>
      <c r="B380" s="49"/>
      <c r="C380" s="49"/>
      <c r="D380" s="49"/>
      <c r="E380" s="47" t="s">
        <v>144</v>
      </c>
      <c r="F380" s="49">
        <v>0</v>
      </c>
      <c r="G380" s="49">
        <v>0</v>
      </c>
      <c r="H380" s="47"/>
      <c r="I380" s="49"/>
      <c r="J380" s="49"/>
      <c r="L380" s="47" t="s">
        <v>136</v>
      </c>
      <c r="M380" s="49">
        <v>0</v>
      </c>
      <c r="N380" s="48">
        <v>203</v>
      </c>
    </row>
    <row r="381" spans="1:14" x14ac:dyDescent="0.25">
      <c r="A381" s="47"/>
      <c r="B381" s="49"/>
      <c r="C381" s="49"/>
      <c r="D381" s="49"/>
      <c r="E381" s="47" t="s">
        <v>137</v>
      </c>
      <c r="F381" s="48">
        <v>-3.33</v>
      </c>
      <c r="G381" s="48">
        <v>-21.989999999999995</v>
      </c>
      <c r="H381" s="47"/>
      <c r="I381" s="49"/>
      <c r="J381" s="49"/>
      <c r="L381" s="47" t="s">
        <v>135</v>
      </c>
      <c r="M381" s="49">
        <v>0</v>
      </c>
      <c r="N381" s="48">
        <v>6.9999999999999991</v>
      </c>
    </row>
    <row r="382" spans="1:14" x14ac:dyDescent="0.25">
      <c r="A382" s="47"/>
      <c r="B382" s="49"/>
      <c r="C382" s="49"/>
      <c r="D382" s="49"/>
      <c r="E382" s="47" t="s">
        <v>133</v>
      </c>
      <c r="F382" s="48">
        <v>-6.1</v>
      </c>
      <c r="G382" s="48">
        <v>-93.190000000000012</v>
      </c>
      <c r="H382" s="47"/>
      <c r="I382" s="49"/>
      <c r="J382" s="49"/>
      <c r="L382" s="47"/>
      <c r="M382" s="49"/>
      <c r="N382" s="49"/>
    </row>
    <row r="383" spans="1:14" ht="15" customHeight="1" x14ac:dyDescent="0.25">
      <c r="A383" s="53" t="s">
        <v>289</v>
      </c>
      <c r="B383" s="51">
        <f>SUM(B376:B382)</f>
        <v>50.22</v>
      </c>
      <c r="C383" s="51">
        <f>SUM(C376:C382)</f>
        <v>677.97</v>
      </c>
      <c r="D383" s="51">
        <f>SUM(D376:D382)</f>
        <v>10354.49</v>
      </c>
      <c r="E383" s="53" t="s">
        <v>290</v>
      </c>
      <c r="F383" s="51">
        <f>SUM(F376:F382)</f>
        <v>-108.29999999999998</v>
      </c>
      <c r="G383" s="51">
        <f>SUM(G376:G382)</f>
        <v>-1518.3000000000002</v>
      </c>
      <c r="H383" s="53" t="s">
        <v>291</v>
      </c>
      <c r="I383" s="52">
        <f>SUM(I376:I382)</f>
        <v>0</v>
      </c>
      <c r="J383" s="52">
        <f>SUM(J376:J382)</f>
        <v>0</v>
      </c>
      <c r="K383" s="54"/>
      <c r="L383" s="53" t="s">
        <v>292</v>
      </c>
      <c r="M383" s="51">
        <f>SUM(M376:M382)</f>
        <v>51.87</v>
      </c>
      <c r="N383" s="51">
        <f>SUM(N376:N382)</f>
        <v>1044.1199999999999</v>
      </c>
    </row>
    <row r="384" spans="1:14" ht="19.95" customHeight="1" x14ac:dyDescent="0.25">
      <c r="H384" s="53" t="s">
        <v>293</v>
      </c>
      <c r="I384" s="51">
        <f>C383+F383+I383</f>
        <v>569.67000000000007</v>
      </c>
      <c r="J384" s="51">
        <f>D383+G383+J383</f>
        <v>8836.1899999999987</v>
      </c>
    </row>
    <row r="385" spans="1:14" ht="15" customHeight="1" x14ac:dyDescent="0.25">
      <c r="A385" s="40" t="s">
        <v>206</v>
      </c>
      <c r="B385" s="41"/>
      <c r="C385" s="41"/>
      <c r="D385" s="40" t="s">
        <v>368</v>
      </c>
      <c r="E385" s="41"/>
      <c r="F385" s="41"/>
      <c r="G385" s="41"/>
      <c r="H385" s="41"/>
      <c r="I385" s="42" t="s">
        <v>369</v>
      </c>
      <c r="J385" s="43"/>
      <c r="K385" s="39"/>
      <c r="L385" s="38"/>
      <c r="M385" s="38"/>
      <c r="N385" s="38"/>
    </row>
    <row r="386" spans="1:14" x14ac:dyDescent="0.25">
      <c r="A386" s="45" t="s">
        <v>284</v>
      </c>
      <c r="B386" s="44" t="s">
        <v>125</v>
      </c>
      <c r="C386" s="44" t="s">
        <v>285</v>
      </c>
      <c r="D386" s="44" t="s">
        <v>286</v>
      </c>
      <c r="E386" s="45" t="s">
        <v>287</v>
      </c>
      <c r="F386" s="44" t="s">
        <v>285</v>
      </c>
      <c r="G386" s="44" t="s">
        <v>286</v>
      </c>
      <c r="H386" s="45" t="s">
        <v>288</v>
      </c>
      <c r="I386" s="44" t="s">
        <v>285</v>
      </c>
      <c r="J386" s="44" t="s">
        <v>286</v>
      </c>
      <c r="K386" s="46"/>
      <c r="L386" s="45" t="s">
        <v>288</v>
      </c>
      <c r="M386" s="44" t="s">
        <v>285</v>
      </c>
      <c r="N386" s="44" t="s">
        <v>286</v>
      </c>
    </row>
    <row r="387" spans="1:14" x14ac:dyDescent="0.25">
      <c r="A387" s="47" t="s">
        <v>141</v>
      </c>
      <c r="B387" s="48">
        <v>75.94</v>
      </c>
      <c r="C387" s="48">
        <v>1518.8</v>
      </c>
      <c r="D387" s="48">
        <v>27753.599999999999</v>
      </c>
      <c r="E387" s="47" t="s">
        <v>140</v>
      </c>
      <c r="F387" s="48">
        <v>-271</v>
      </c>
      <c r="G387" s="48">
        <v>-3774</v>
      </c>
      <c r="H387" s="47" t="s">
        <v>130</v>
      </c>
      <c r="I387" s="48">
        <v>-100</v>
      </c>
      <c r="J387" s="48">
        <v>-900</v>
      </c>
      <c r="L387" s="47" t="s">
        <v>146</v>
      </c>
      <c r="M387" s="48">
        <v>166.8</v>
      </c>
      <c r="N387" s="48">
        <v>2573.2100000000005</v>
      </c>
    </row>
    <row r="388" spans="1:14" x14ac:dyDescent="0.25">
      <c r="A388" s="47" t="s">
        <v>250</v>
      </c>
      <c r="B388" s="49">
        <v>0</v>
      </c>
      <c r="C388" s="49">
        <v>0</v>
      </c>
      <c r="D388" s="48">
        <v>640</v>
      </c>
      <c r="E388" s="47" t="s">
        <v>147</v>
      </c>
      <c r="F388" s="48">
        <v>-166.8</v>
      </c>
      <c r="G388" s="48">
        <v>-2573.2100000000005</v>
      </c>
      <c r="H388" s="47"/>
      <c r="I388" s="49"/>
      <c r="J388" s="49"/>
      <c r="L388" s="47" t="s">
        <v>142</v>
      </c>
      <c r="M388" s="48">
        <v>39.01</v>
      </c>
      <c r="N388" s="48">
        <v>601.79999999999995</v>
      </c>
    </row>
    <row r="389" spans="1:14" x14ac:dyDescent="0.25">
      <c r="A389" s="47" t="s">
        <v>255</v>
      </c>
      <c r="B389" s="48">
        <v>29.18</v>
      </c>
      <c r="C389" s="48">
        <v>583.6</v>
      </c>
      <c r="D389" s="48">
        <v>583.6</v>
      </c>
      <c r="E389" s="47" t="s">
        <v>143</v>
      </c>
      <c r="F389" s="48">
        <v>-39.01</v>
      </c>
      <c r="G389" s="48">
        <v>-601.79999999999995</v>
      </c>
      <c r="H389" s="47"/>
      <c r="I389" s="49"/>
      <c r="J389" s="49"/>
      <c r="L389" s="47" t="s">
        <v>138</v>
      </c>
      <c r="M389" s="49">
        <v>0</v>
      </c>
      <c r="N389" s="48">
        <v>41.999999999999993</v>
      </c>
    </row>
    <row r="390" spans="1:14" x14ac:dyDescent="0.25">
      <c r="A390" s="47" t="s">
        <v>145</v>
      </c>
      <c r="B390" s="48">
        <v>19.600000000000001</v>
      </c>
      <c r="C390" s="48">
        <v>588</v>
      </c>
      <c r="D390" s="48">
        <v>12078.000000000002</v>
      </c>
      <c r="E390" s="47" t="s">
        <v>144</v>
      </c>
      <c r="F390" s="49">
        <v>0</v>
      </c>
      <c r="G390" s="49">
        <v>0</v>
      </c>
      <c r="H390" s="47"/>
      <c r="I390" s="49"/>
      <c r="J390" s="49"/>
      <c r="L390" s="47" t="s">
        <v>136</v>
      </c>
      <c r="M390" s="49">
        <v>0</v>
      </c>
      <c r="N390" s="48">
        <v>203</v>
      </c>
    </row>
    <row r="391" spans="1:14" x14ac:dyDescent="0.25">
      <c r="A391" s="47" t="s">
        <v>253</v>
      </c>
      <c r="B391" s="49">
        <v>0</v>
      </c>
      <c r="C391" s="49">
        <v>0</v>
      </c>
      <c r="D391" s="48">
        <v>448.2</v>
      </c>
      <c r="E391" s="47" t="s">
        <v>137</v>
      </c>
      <c r="F391" s="48">
        <v>-135.88999999999999</v>
      </c>
      <c r="G391" s="48">
        <v>-1703.19</v>
      </c>
      <c r="H391" s="47"/>
      <c r="I391" s="49"/>
      <c r="J391" s="49"/>
      <c r="L391" s="47" t="s">
        <v>135</v>
      </c>
      <c r="M391" s="49">
        <v>0</v>
      </c>
      <c r="N391" s="48">
        <v>7.0000000000000009</v>
      </c>
    </row>
    <row r="392" spans="1:14" x14ac:dyDescent="0.25">
      <c r="A392" s="47"/>
      <c r="B392" s="49"/>
      <c r="C392" s="49"/>
      <c r="D392" s="49"/>
      <c r="E392" s="47" t="s">
        <v>133</v>
      </c>
      <c r="F392" s="48">
        <v>-24.21</v>
      </c>
      <c r="G392" s="48">
        <v>-373.53</v>
      </c>
      <c r="H392" s="47"/>
      <c r="I392" s="49"/>
      <c r="J392" s="49"/>
      <c r="L392" s="47"/>
      <c r="M392" s="49"/>
      <c r="N392" s="49"/>
    </row>
    <row r="393" spans="1:14" ht="15" customHeight="1" x14ac:dyDescent="0.25">
      <c r="A393" s="53" t="s">
        <v>289</v>
      </c>
      <c r="B393" s="51">
        <f>SUM(B386:B392)</f>
        <v>124.72</v>
      </c>
      <c r="C393" s="51">
        <f>SUM(C386:C392)</f>
        <v>2690.4</v>
      </c>
      <c r="D393" s="51">
        <f>SUM(D386:D392)</f>
        <v>41503.399999999994</v>
      </c>
      <c r="E393" s="53" t="s">
        <v>290</v>
      </c>
      <c r="F393" s="51">
        <f>SUM(F386:F392)</f>
        <v>-636.91000000000008</v>
      </c>
      <c r="G393" s="51">
        <f>SUM(G386:G392)</f>
        <v>-9025.7300000000014</v>
      </c>
      <c r="H393" s="53" t="s">
        <v>291</v>
      </c>
      <c r="I393" s="51">
        <f>SUM(I386:I392)</f>
        <v>-100</v>
      </c>
      <c r="J393" s="51">
        <f>SUM(J386:J392)</f>
        <v>-900</v>
      </c>
      <c r="K393" s="54"/>
      <c r="L393" s="53" t="s">
        <v>292</v>
      </c>
      <c r="M393" s="51">
        <f>SUM(M386:M392)</f>
        <v>205.81</v>
      </c>
      <c r="N393" s="51">
        <f>SUM(N386:N392)</f>
        <v>3427.01</v>
      </c>
    </row>
    <row r="394" spans="1:14" ht="19.95" customHeight="1" x14ac:dyDescent="0.25">
      <c r="H394" s="53" t="s">
        <v>293</v>
      </c>
      <c r="I394" s="51">
        <f>C393+F393+I393</f>
        <v>1953.4899999999998</v>
      </c>
      <c r="J394" s="51">
        <f>D393+G393+J393</f>
        <v>31577.669999999991</v>
      </c>
    </row>
    <row r="395" spans="1:14" ht="15" customHeight="1" x14ac:dyDescent="0.25">
      <c r="A395" s="40" t="s">
        <v>208</v>
      </c>
      <c r="B395" s="41"/>
      <c r="C395" s="41"/>
      <c r="D395" s="40" t="s">
        <v>370</v>
      </c>
      <c r="E395" s="41"/>
      <c r="F395" s="41"/>
      <c r="G395" s="41"/>
      <c r="H395" s="41"/>
      <c r="I395" s="42" t="s">
        <v>371</v>
      </c>
      <c r="J395" s="43"/>
      <c r="K395" s="39"/>
      <c r="L395" s="38"/>
      <c r="M395" s="38"/>
      <c r="N395" s="38"/>
    </row>
    <row r="396" spans="1:14" x14ac:dyDescent="0.25">
      <c r="A396" s="45" t="s">
        <v>284</v>
      </c>
      <c r="B396" s="44" t="s">
        <v>125</v>
      </c>
      <c r="C396" s="44" t="s">
        <v>285</v>
      </c>
      <c r="D396" s="44" t="s">
        <v>286</v>
      </c>
      <c r="E396" s="45" t="s">
        <v>287</v>
      </c>
      <c r="F396" s="44" t="s">
        <v>285</v>
      </c>
      <c r="G396" s="44" t="s">
        <v>286</v>
      </c>
      <c r="H396" s="45" t="s">
        <v>288</v>
      </c>
      <c r="I396" s="44" t="s">
        <v>285</v>
      </c>
      <c r="J396" s="44" t="s">
        <v>286</v>
      </c>
      <c r="K396" s="46"/>
      <c r="L396" s="45" t="s">
        <v>288</v>
      </c>
      <c r="M396" s="44" t="s">
        <v>285</v>
      </c>
      <c r="N396" s="44" t="s">
        <v>286</v>
      </c>
    </row>
    <row r="397" spans="1:14" x14ac:dyDescent="0.25">
      <c r="A397" s="47" t="s">
        <v>141</v>
      </c>
      <c r="B397" s="48">
        <v>73.150000000000006</v>
      </c>
      <c r="C397" s="48">
        <v>877.8</v>
      </c>
      <c r="D397" s="48">
        <v>16843.3</v>
      </c>
      <c r="E397" s="47" t="s">
        <v>140</v>
      </c>
      <c r="F397" s="48">
        <v>-165</v>
      </c>
      <c r="G397" s="48">
        <v>-2128</v>
      </c>
      <c r="H397" s="47" t="s">
        <v>130</v>
      </c>
      <c r="I397" s="48">
        <v>-100</v>
      </c>
      <c r="J397" s="48">
        <v>-1750</v>
      </c>
      <c r="L397" s="47" t="s">
        <v>146</v>
      </c>
      <c r="M397" s="48">
        <v>81.2</v>
      </c>
      <c r="N397" s="48">
        <v>1111.78</v>
      </c>
    </row>
    <row r="398" spans="1:14" x14ac:dyDescent="0.25">
      <c r="A398" s="47" t="s">
        <v>250</v>
      </c>
      <c r="B398" s="49">
        <v>0</v>
      </c>
      <c r="C398" s="49">
        <v>0</v>
      </c>
      <c r="D398" s="48">
        <v>288</v>
      </c>
      <c r="E398" s="47" t="s">
        <v>147</v>
      </c>
      <c r="F398" s="48">
        <v>-81.2</v>
      </c>
      <c r="G398" s="48">
        <v>-1111.78</v>
      </c>
      <c r="H398" s="47"/>
      <c r="I398" s="49"/>
      <c r="J398" s="49"/>
      <c r="L398" s="47" t="s">
        <v>142</v>
      </c>
      <c r="M398" s="48">
        <v>18.989999999999998</v>
      </c>
      <c r="N398" s="48">
        <v>260.01</v>
      </c>
    </row>
    <row r="399" spans="1:14" x14ac:dyDescent="0.25">
      <c r="A399" s="47" t="s">
        <v>255</v>
      </c>
      <c r="B399" s="48">
        <v>32.130000000000003</v>
      </c>
      <c r="C399" s="48">
        <v>385.56</v>
      </c>
      <c r="D399" s="48">
        <v>385.56</v>
      </c>
      <c r="E399" s="47" t="s">
        <v>143</v>
      </c>
      <c r="F399" s="48">
        <v>-18.989999999999998</v>
      </c>
      <c r="G399" s="48">
        <v>-260.01</v>
      </c>
      <c r="H399" s="47"/>
      <c r="I399" s="49"/>
      <c r="J399" s="49"/>
      <c r="L399" s="47" t="s">
        <v>138</v>
      </c>
      <c r="M399" s="49">
        <v>0</v>
      </c>
      <c r="N399" s="48">
        <v>42</v>
      </c>
    </row>
    <row r="400" spans="1:14" x14ac:dyDescent="0.25">
      <c r="A400" s="47" t="s">
        <v>145</v>
      </c>
      <c r="B400" s="48">
        <v>2.58</v>
      </c>
      <c r="C400" s="48">
        <v>46.44</v>
      </c>
      <c r="D400" s="48">
        <v>415.12</v>
      </c>
      <c r="E400" s="47" t="s">
        <v>144</v>
      </c>
      <c r="F400" s="49">
        <v>0</v>
      </c>
      <c r="G400" s="49">
        <v>0</v>
      </c>
      <c r="H400" s="47"/>
      <c r="I400" s="49"/>
      <c r="J400" s="49"/>
      <c r="L400" s="47" t="s">
        <v>136</v>
      </c>
      <c r="M400" s="49">
        <v>0</v>
      </c>
      <c r="N400" s="48">
        <v>203</v>
      </c>
    </row>
    <row r="401" spans="1:14" x14ac:dyDescent="0.25">
      <c r="A401" s="47"/>
      <c r="B401" s="49"/>
      <c r="C401" s="49"/>
      <c r="D401" s="49"/>
      <c r="E401" s="47" t="s">
        <v>137</v>
      </c>
      <c r="F401" s="48">
        <v>-31.18</v>
      </c>
      <c r="G401" s="48">
        <v>-312.81</v>
      </c>
      <c r="H401" s="47"/>
      <c r="I401" s="49"/>
      <c r="J401" s="49"/>
      <c r="L401" s="47" t="s">
        <v>135</v>
      </c>
      <c r="M401" s="49">
        <v>0</v>
      </c>
      <c r="N401" s="48">
        <v>7.0000000000000009</v>
      </c>
    </row>
    <row r="402" spans="1:14" x14ac:dyDescent="0.25">
      <c r="A402" s="47"/>
      <c r="B402" s="49"/>
      <c r="C402" s="49"/>
      <c r="D402" s="49"/>
      <c r="E402" s="47" t="s">
        <v>133</v>
      </c>
      <c r="F402" s="48">
        <v>-11.79</v>
      </c>
      <c r="G402" s="48">
        <v>-161.38999999999999</v>
      </c>
      <c r="H402" s="47"/>
      <c r="I402" s="49"/>
      <c r="J402" s="49"/>
      <c r="L402" s="47"/>
      <c r="M402" s="49"/>
      <c r="N402" s="49"/>
    </row>
    <row r="403" spans="1:14" ht="15" customHeight="1" x14ac:dyDescent="0.25">
      <c r="A403" s="53" t="s">
        <v>289</v>
      </c>
      <c r="B403" s="51">
        <f>SUM(B396:B402)</f>
        <v>107.86</v>
      </c>
      <c r="C403" s="51">
        <f>SUM(C396:C402)</f>
        <v>1309.8</v>
      </c>
      <c r="D403" s="51">
        <f>SUM(D396:D402)</f>
        <v>17931.98</v>
      </c>
      <c r="E403" s="53" t="s">
        <v>290</v>
      </c>
      <c r="F403" s="51">
        <f>SUM(F396:F402)</f>
        <v>-308.16000000000003</v>
      </c>
      <c r="G403" s="51">
        <f>SUM(G396:G402)</f>
        <v>-3973.99</v>
      </c>
      <c r="H403" s="53" t="s">
        <v>291</v>
      </c>
      <c r="I403" s="51">
        <f>SUM(I396:I402)</f>
        <v>-100</v>
      </c>
      <c r="J403" s="51">
        <f>SUM(J396:J402)</f>
        <v>-1750</v>
      </c>
      <c r="K403" s="54"/>
      <c r="L403" s="53" t="s">
        <v>292</v>
      </c>
      <c r="M403" s="51">
        <f>SUM(M396:M402)</f>
        <v>100.19</v>
      </c>
      <c r="N403" s="51">
        <f>SUM(N396:N402)</f>
        <v>1623.79</v>
      </c>
    </row>
    <row r="404" spans="1:14" ht="19.95" customHeight="1" x14ac:dyDescent="0.25">
      <c r="H404" s="53" t="s">
        <v>293</v>
      </c>
      <c r="I404" s="51">
        <f>C403+F403+I403</f>
        <v>901.63999999999987</v>
      </c>
      <c r="J404" s="51">
        <f>D403+G403+J403</f>
        <v>12207.99</v>
      </c>
    </row>
    <row r="405" spans="1:14" ht="15" customHeight="1" x14ac:dyDescent="0.25">
      <c r="A405" s="40" t="s">
        <v>210</v>
      </c>
      <c r="B405" s="41"/>
      <c r="C405" s="41"/>
      <c r="D405" s="40" t="s">
        <v>372</v>
      </c>
      <c r="E405" s="41"/>
      <c r="F405" s="41"/>
      <c r="G405" s="41"/>
      <c r="H405" s="41"/>
      <c r="I405" s="42" t="s">
        <v>373</v>
      </c>
      <c r="J405" s="43"/>
      <c r="K405" s="39"/>
      <c r="L405" s="38"/>
      <c r="M405" s="38"/>
      <c r="N405" s="38"/>
    </row>
    <row r="406" spans="1:14" x14ac:dyDescent="0.25">
      <c r="A406" s="45" t="s">
        <v>284</v>
      </c>
      <c r="B406" s="44" t="s">
        <v>125</v>
      </c>
      <c r="C406" s="44" t="s">
        <v>285</v>
      </c>
      <c r="D406" s="44" t="s">
        <v>286</v>
      </c>
      <c r="E406" s="45" t="s">
        <v>287</v>
      </c>
      <c r="F406" s="44" t="s">
        <v>285</v>
      </c>
      <c r="G406" s="44" t="s">
        <v>286</v>
      </c>
      <c r="H406" s="45" t="s">
        <v>288</v>
      </c>
      <c r="I406" s="44" t="s">
        <v>285</v>
      </c>
      <c r="J406" s="44" t="s">
        <v>286</v>
      </c>
      <c r="K406" s="46"/>
      <c r="L406" s="45" t="s">
        <v>288</v>
      </c>
      <c r="M406" s="44" t="s">
        <v>285</v>
      </c>
      <c r="N406" s="44" t="s">
        <v>286</v>
      </c>
    </row>
    <row r="407" spans="1:14" x14ac:dyDescent="0.25">
      <c r="A407" s="47" t="s">
        <v>141</v>
      </c>
      <c r="B407" s="48">
        <v>13.42</v>
      </c>
      <c r="C407" s="48">
        <v>140.91</v>
      </c>
      <c r="D407" s="48">
        <v>2727.9399999999996</v>
      </c>
      <c r="E407" s="47" t="s">
        <v>140</v>
      </c>
      <c r="F407" s="49">
        <v>0</v>
      </c>
      <c r="G407" s="49">
        <v>0</v>
      </c>
      <c r="H407" s="47" t="s">
        <v>199</v>
      </c>
      <c r="I407" s="49">
        <v>0</v>
      </c>
      <c r="J407" s="49">
        <v>0</v>
      </c>
      <c r="L407" s="47" t="s">
        <v>146</v>
      </c>
      <c r="M407" s="48">
        <v>8.74</v>
      </c>
      <c r="N407" s="48">
        <v>180.84</v>
      </c>
    </row>
    <row r="408" spans="1:14" x14ac:dyDescent="0.25">
      <c r="A408" s="47" t="s">
        <v>250</v>
      </c>
      <c r="B408" s="49">
        <v>0</v>
      </c>
      <c r="C408" s="49">
        <v>0</v>
      </c>
      <c r="D408" s="48">
        <v>168</v>
      </c>
      <c r="E408" s="47" t="s">
        <v>147</v>
      </c>
      <c r="F408" s="48">
        <v>-8.74</v>
      </c>
      <c r="G408" s="48">
        <v>-180.84</v>
      </c>
      <c r="H408" s="47"/>
      <c r="I408" s="49"/>
      <c r="J408" s="49"/>
      <c r="L408" s="47" t="s">
        <v>142</v>
      </c>
      <c r="M408" s="48">
        <v>2.04</v>
      </c>
      <c r="N408" s="48">
        <v>42.29</v>
      </c>
    </row>
    <row r="409" spans="1:14" x14ac:dyDescent="0.25">
      <c r="A409" s="47" t="s">
        <v>145</v>
      </c>
      <c r="B409" s="49">
        <v>0</v>
      </c>
      <c r="C409" s="49">
        <v>0</v>
      </c>
      <c r="D409" s="48">
        <v>20.79</v>
      </c>
      <c r="E409" s="47" t="s">
        <v>143</v>
      </c>
      <c r="F409" s="48">
        <v>-2.04</v>
      </c>
      <c r="G409" s="48">
        <v>-42.29</v>
      </c>
      <c r="H409" s="47"/>
      <c r="I409" s="49"/>
      <c r="J409" s="49"/>
      <c r="L409" s="47" t="s">
        <v>138</v>
      </c>
      <c r="M409" s="48">
        <v>0.85</v>
      </c>
      <c r="N409" s="48">
        <v>17.5</v>
      </c>
    </row>
    <row r="410" spans="1:14" x14ac:dyDescent="0.25">
      <c r="A410" s="47"/>
      <c r="B410" s="49"/>
      <c r="C410" s="49"/>
      <c r="D410" s="49"/>
      <c r="E410" s="47" t="s">
        <v>144</v>
      </c>
      <c r="F410" s="49">
        <v>0</v>
      </c>
      <c r="G410" s="49">
        <v>0</v>
      </c>
      <c r="H410" s="47"/>
      <c r="I410" s="49"/>
      <c r="J410" s="49"/>
      <c r="L410" s="47" t="s">
        <v>136</v>
      </c>
      <c r="M410" s="48">
        <v>4.09</v>
      </c>
      <c r="N410" s="48">
        <v>84.590000000000018</v>
      </c>
    </row>
    <row r="411" spans="1:14" x14ac:dyDescent="0.25">
      <c r="A411" s="47"/>
      <c r="B411" s="49"/>
      <c r="C411" s="49"/>
      <c r="D411" s="49"/>
      <c r="E411" s="47" t="s">
        <v>137</v>
      </c>
      <c r="F411" s="49">
        <v>0</v>
      </c>
      <c r="G411" s="49">
        <v>0</v>
      </c>
      <c r="H411" s="47"/>
      <c r="I411" s="49"/>
      <c r="J411" s="49"/>
      <c r="L411" s="47" t="s">
        <v>135</v>
      </c>
      <c r="M411" s="48">
        <v>0.14000000000000001</v>
      </c>
      <c r="N411" s="48">
        <v>2.92</v>
      </c>
    </row>
    <row r="412" spans="1:14" x14ac:dyDescent="0.25">
      <c r="A412" s="47"/>
      <c r="B412" s="49"/>
      <c r="C412" s="49"/>
      <c r="D412" s="49"/>
      <c r="E412" s="47" t="s">
        <v>133</v>
      </c>
      <c r="F412" s="48">
        <v>-1.27</v>
      </c>
      <c r="G412" s="48">
        <v>-26.249999999999996</v>
      </c>
      <c r="H412" s="47"/>
      <c r="I412" s="49"/>
      <c r="J412" s="49"/>
      <c r="L412" s="47"/>
      <c r="M412" s="49"/>
      <c r="N412" s="49"/>
    </row>
    <row r="413" spans="1:14" ht="15" customHeight="1" x14ac:dyDescent="0.25">
      <c r="A413" s="53" t="s">
        <v>289</v>
      </c>
      <c r="B413" s="51">
        <f>SUM(B406:B412)</f>
        <v>13.42</v>
      </c>
      <c r="C413" s="51">
        <f>SUM(C406:C412)</f>
        <v>140.91</v>
      </c>
      <c r="D413" s="51">
        <f>SUM(D406:D412)</f>
        <v>2916.7299999999996</v>
      </c>
      <c r="E413" s="53" t="s">
        <v>290</v>
      </c>
      <c r="F413" s="51">
        <f>SUM(F406:F412)</f>
        <v>-12.05</v>
      </c>
      <c r="G413" s="51">
        <f>SUM(G406:G412)</f>
        <v>-249.38</v>
      </c>
      <c r="H413" s="53" t="s">
        <v>291</v>
      </c>
      <c r="I413" s="52">
        <f>SUM(I406:I412)</f>
        <v>0</v>
      </c>
      <c r="J413" s="52">
        <f>SUM(J406:J412)</f>
        <v>0</v>
      </c>
      <c r="K413" s="54"/>
      <c r="L413" s="53" t="s">
        <v>292</v>
      </c>
      <c r="M413" s="51">
        <f>SUM(M406:M412)</f>
        <v>15.860000000000001</v>
      </c>
      <c r="N413" s="51">
        <f>SUM(N406:N412)</f>
        <v>328.14000000000004</v>
      </c>
    </row>
    <row r="414" spans="1:14" ht="19.95" customHeight="1" x14ac:dyDescent="0.25">
      <c r="H414" s="53" t="s">
        <v>293</v>
      </c>
      <c r="I414" s="51">
        <f>C413+F413+I413</f>
        <v>128.85999999999999</v>
      </c>
      <c r="J414" s="51">
        <f>D413+G413+J413</f>
        <v>2667.3499999999995</v>
      </c>
    </row>
    <row r="415" spans="1:14" ht="15" customHeight="1" x14ac:dyDescent="0.25">
      <c r="A415" s="40" t="s">
        <v>248</v>
      </c>
      <c r="B415" s="41"/>
      <c r="C415" s="41"/>
      <c r="D415" s="40" t="s">
        <v>374</v>
      </c>
      <c r="E415" s="41"/>
      <c r="F415" s="41"/>
      <c r="G415" s="41"/>
      <c r="H415" s="41"/>
      <c r="I415" s="42" t="s">
        <v>375</v>
      </c>
      <c r="J415" s="43"/>
      <c r="K415" s="39"/>
      <c r="L415" s="38"/>
      <c r="M415" s="38"/>
      <c r="N415" s="38"/>
    </row>
    <row r="416" spans="1:14" x14ac:dyDescent="0.25">
      <c r="A416" s="45" t="s">
        <v>284</v>
      </c>
      <c r="B416" s="44" t="s">
        <v>125</v>
      </c>
      <c r="C416" s="44" t="s">
        <v>285</v>
      </c>
      <c r="D416" s="44" t="s">
        <v>286</v>
      </c>
      <c r="E416" s="45" t="s">
        <v>287</v>
      </c>
      <c r="F416" s="44" t="s">
        <v>285</v>
      </c>
      <c r="G416" s="44" t="s">
        <v>286</v>
      </c>
      <c r="H416" s="45" t="s">
        <v>288</v>
      </c>
      <c r="I416" s="44" t="s">
        <v>285</v>
      </c>
      <c r="J416" s="44" t="s">
        <v>286</v>
      </c>
      <c r="K416" s="46"/>
      <c r="L416" s="45" t="s">
        <v>288</v>
      </c>
      <c r="M416" s="44" t="s">
        <v>285</v>
      </c>
      <c r="N416" s="44" t="s">
        <v>286</v>
      </c>
    </row>
    <row r="417" spans="1:14" x14ac:dyDescent="0.25">
      <c r="A417" s="47" t="s">
        <v>141</v>
      </c>
      <c r="B417" s="48">
        <v>59.92</v>
      </c>
      <c r="C417" s="48">
        <v>659.12</v>
      </c>
      <c r="D417" s="48">
        <v>6690.75</v>
      </c>
      <c r="E417" s="47" t="s">
        <v>140</v>
      </c>
      <c r="F417" s="48">
        <v>-26</v>
      </c>
      <c r="G417" s="48">
        <v>-184</v>
      </c>
      <c r="H417" s="47"/>
      <c r="I417" s="49"/>
      <c r="J417" s="49"/>
      <c r="L417" s="47" t="s">
        <v>146</v>
      </c>
      <c r="M417" s="48">
        <v>40.869999999999997</v>
      </c>
      <c r="N417" s="48">
        <v>453.07000000000011</v>
      </c>
    </row>
    <row r="418" spans="1:14" x14ac:dyDescent="0.25">
      <c r="A418" s="47" t="s">
        <v>250</v>
      </c>
      <c r="B418" s="49">
        <v>0</v>
      </c>
      <c r="C418" s="49">
        <v>0</v>
      </c>
      <c r="D418" s="48">
        <v>264</v>
      </c>
      <c r="E418" s="47" t="s">
        <v>147</v>
      </c>
      <c r="F418" s="48">
        <v>-40.869999999999997</v>
      </c>
      <c r="G418" s="48">
        <v>-453.07000000000011</v>
      </c>
      <c r="H418" s="47"/>
      <c r="I418" s="49"/>
      <c r="J418" s="49"/>
      <c r="L418" s="47" t="s">
        <v>142</v>
      </c>
      <c r="M418" s="48">
        <v>9.56</v>
      </c>
      <c r="N418" s="48">
        <v>105.96000000000001</v>
      </c>
    </row>
    <row r="419" spans="1:14" x14ac:dyDescent="0.25">
      <c r="A419" s="47" t="s">
        <v>145</v>
      </c>
      <c r="B419" s="49">
        <v>0</v>
      </c>
      <c r="C419" s="49">
        <v>0</v>
      </c>
      <c r="D419" s="48">
        <v>352.78999999999996</v>
      </c>
      <c r="E419" s="47" t="s">
        <v>143</v>
      </c>
      <c r="F419" s="48">
        <v>-9.56</v>
      </c>
      <c r="G419" s="48">
        <v>-105.96000000000001</v>
      </c>
      <c r="H419" s="47"/>
      <c r="I419" s="49"/>
      <c r="J419" s="49"/>
      <c r="L419" s="47" t="s">
        <v>138</v>
      </c>
      <c r="M419" s="48">
        <v>2.11</v>
      </c>
      <c r="N419" s="48">
        <v>42</v>
      </c>
    </row>
    <row r="420" spans="1:14" x14ac:dyDescent="0.25">
      <c r="A420" s="47"/>
      <c r="B420" s="49"/>
      <c r="C420" s="49"/>
      <c r="D420" s="49"/>
      <c r="E420" s="47" t="s">
        <v>144</v>
      </c>
      <c r="F420" s="49">
        <v>0</v>
      </c>
      <c r="G420" s="49">
        <v>0</v>
      </c>
      <c r="H420" s="47"/>
      <c r="I420" s="49"/>
      <c r="J420" s="49"/>
      <c r="L420" s="47" t="s">
        <v>136</v>
      </c>
      <c r="M420" s="48">
        <v>10.199999999999999</v>
      </c>
      <c r="N420" s="48">
        <v>203.00000000000003</v>
      </c>
    </row>
    <row r="421" spans="1:14" x14ac:dyDescent="0.25">
      <c r="A421" s="47"/>
      <c r="B421" s="49"/>
      <c r="C421" s="49"/>
      <c r="D421" s="49"/>
      <c r="E421" s="47" t="s">
        <v>137</v>
      </c>
      <c r="F421" s="49">
        <v>0</v>
      </c>
      <c r="G421" s="48">
        <v>-3.4699999999999998</v>
      </c>
      <c r="H421" s="47"/>
      <c r="I421" s="49"/>
      <c r="J421" s="49"/>
      <c r="L421" s="47" t="s">
        <v>135</v>
      </c>
      <c r="M421" s="48">
        <v>0.35</v>
      </c>
      <c r="N421" s="48">
        <v>7.0000000000000009</v>
      </c>
    </row>
    <row r="422" spans="1:14" x14ac:dyDescent="0.25">
      <c r="A422" s="47"/>
      <c r="B422" s="49"/>
      <c r="C422" s="49"/>
      <c r="D422" s="49"/>
      <c r="E422" s="47" t="s">
        <v>133</v>
      </c>
      <c r="F422" s="48">
        <v>-5.93</v>
      </c>
      <c r="G422" s="48">
        <v>-65.77000000000001</v>
      </c>
      <c r="H422" s="47"/>
      <c r="I422" s="49"/>
      <c r="J422" s="49"/>
      <c r="L422" s="47"/>
      <c r="M422" s="49"/>
      <c r="N422" s="49"/>
    </row>
    <row r="423" spans="1:14" ht="15" customHeight="1" x14ac:dyDescent="0.25">
      <c r="A423" s="53" t="s">
        <v>289</v>
      </c>
      <c r="B423" s="51">
        <f>SUM(B416:B422)</f>
        <v>59.92</v>
      </c>
      <c r="C423" s="51">
        <f>SUM(C416:C422)</f>
        <v>659.12</v>
      </c>
      <c r="D423" s="51">
        <f>SUM(D416:D422)</f>
        <v>7307.54</v>
      </c>
      <c r="E423" s="53" t="s">
        <v>290</v>
      </c>
      <c r="F423" s="51">
        <f>SUM(F416:F422)</f>
        <v>-82.360000000000014</v>
      </c>
      <c r="G423" s="51">
        <f>SUM(G416:G422)</f>
        <v>-812.27000000000021</v>
      </c>
      <c r="H423" s="53" t="s">
        <v>291</v>
      </c>
      <c r="I423" s="52">
        <f>SUM(I416:I422)</f>
        <v>0</v>
      </c>
      <c r="J423" s="52">
        <f>SUM(J416:J422)</f>
        <v>0</v>
      </c>
      <c r="K423" s="54"/>
      <c r="L423" s="53" t="s">
        <v>292</v>
      </c>
      <c r="M423" s="51">
        <f>SUM(M416:M422)</f>
        <v>63.089999999999996</v>
      </c>
      <c r="N423" s="51">
        <f>SUM(N416:N422)</f>
        <v>811.03000000000009</v>
      </c>
    </row>
    <row r="424" spans="1:14" ht="19.95" customHeight="1" x14ac:dyDescent="0.25">
      <c r="H424" s="53" t="s">
        <v>293</v>
      </c>
      <c r="I424" s="51">
        <f>C423+F423+I423</f>
        <v>576.76</v>
      </c>
      <c r="J424" s="51">
        <f>D423+G423+J423</f>
        <v>6495.2699999999995</v>
      </c>
    </row>
    <row r="425" spans="1:14" ht="15" customHeight="1" x14ac:dyDescent="0.25">
      <c r="A425" s="40" t="s">
        <v>212</v>
      </c>
      <c r="B425" s="41"/>
      <c r="C425" s="41"/>
      <c r="D425" s="40" t="s">
        <v>376</v>
      </c>
      <c r="E425" s="41"/>
      <c r="F425" s="41"/>
      <c r="G425" s="41"/>
      <c r="H425" s="41"/>
      <c r="I425" s="42" t="s">
        <v>377</v>
      </c>
      <c r="J425" s="43"/>
      <c r="K425" s="39"/>
      <c r="L425" s="38"/>
      <c r="M425" s="38"/>
      <c r="N425" s="38"/>
    </row>
    <row r="426" spans="1:14" x14ac:dyDescent="0.25">
      <c r="A426" s="45" t="s">
        <v>284</v>
      </c>
      <c r="B426" s="44" t="s">
        <v>125</v>
      </c>
      <c r="C426" s="44" t="s">
        <v>285</v>
      </c>
      <c r="D426" s="44" t="s">
        <v>286</v>
      </c>
      <c r="E426" s="45" t="s">
        <v>287</v>
      </c>
      <c r="F426" s="44" t="s">
        <v>285</v>
      </c>
      <c r="G426" s="44" t="s">
        <v>286</v>
      </c>
      <c r="H426" s="45" t="s">
        <v>288</v>
      </c>
      <c r="I426" s="44" t="s">
        <v>285</v>
      </c>
      <c r="J426" s="44" t="s">
        <v>286</v>
      </c>
      <c r="K426" s="46"/>
      <c r="L426" s="45" t="s">
        <v>288</v>
      </c>
      <c r="M426" s="44" t="s">
        <v>285</v>
      </c>
      <c r="N426" s="44" t="s">
        <v>286</v>
      </c>
    </row>
    <row r="427" spans="1:14" x14ac:dyDescent="0.25">
      <c r="A427" s="47" t="s">
        <v>141</v>
      </c>
      <c r="B427" s="48">
        <v>28.69</v>
      </c>
      <c r="C427" s="48">
        <v>315.58999999999997</v>
      </c>
      <c r="D427" s="48">
        <v>4788.5199999999995</v>
      </c>
      <c r="E427" s="47" t="s">
        <v>140</v>
      </c>
      <c r="F427" s="48">
        <v>-23</v>
      </c>
      <c r="G427" s="48">
        <v>-440</v>
      </c>
      <c r="H427" s="47"/>
      <c r="I427" s="49"/>
      <c r="J427" s="49"/>
      <c r="L427" s="47" t="s">
        <v>146</v>
      </c>
      <c r="M427" s="48">
        <v>20.010000000000002</v>
      </c>
      <c r="N427" s="48">
        <v>361.33</v>
      </c>
    </row>
    <row r="428" spans="1:14" x14ac:dyDescent="0.25">
      <c r="A428" s="47" t="s">
        <v>250</v>
      </c>
      <c r="B428" s="49">
        <v>0</v>
      </c>
      <c r="C428" s="49">
        <v>0</v>
      </c>
      <c r="D428" s="48">
        <v>264</v>
      </c>
      <c r="E428" s="47" t="s">
        <v>147</v>
      </c>
      <c r="F428" s="48">
        <v>-20.010000000000002</v>
      </c>
      <c r="G428" s="48">
        <v>-361.33</v>
      </c>
      <c r="H428" s="47"/>
      <c r="I428" s="49"/>
      <c r="J428" s="49"/>
      <c r="L428" s="47" t="s">
        <v>142</v>
      </c>
      <c r="M428" s="48">
        <v>4.67</v>
      </c>
      <c r="N428" s="48">
        <v>84.500000000000014</v>
      </c>
    </row>
    <row r="429" spans="1:14" x14ac:dyDescent="0.25">
      <c r="A429" s="47" t="s">
        <v>145</v>
      </c>
      <c r="B429" s="48">
        <v>0.43</v>
      </c>
      <c r="C429" s="48">
        <v>7.1</v>
      </c>
      <c r="D429" s="48">
        <v>775.37</v>
      </c>
      <c r="E429" s="47" t="s">
        <v>143</v>
      </c>
      <c r="F429" s="48">
        <v>-4.67</v>
      </c>
      <c r="G429" s="48">
        <v>-84.500000000000014</v>
      </c>
      <c r="H429" s="47"/>
      <c r="I429" s="49"/>
      <c r="J429" s="49"/>
      <c r="L429" s="47" t="s">
        <v>138</v>
      </c>
      <c r="M429" s="48">
        <v>1.94</v>
      </c>
      <c r="N429" s="48">
        <v>34.97</v>
      </c>
    </row>
    <row r="430" spans="1:14" x14ac:dyDescent="0.25">
      <c r="A430" s="47"/>
      <c r="B430" s="49"/>
      <c r="C430" s="49"/>
      <c r="D430" s="49"/>
      <c r="E430" s="47" t="s">
        <v>144</v>
      </c>
      <c r="F430" s="49">
        <v>0</v>
      </c>
      <c r="G430" s="49">
        <v>0</v>
      </c>
      <c r="H430" s="47"/>
      <c r="I430" s="49"/>
      <c r="J430" s="49"/>
      <c r="L430" s="47" t="s">
        <v>136</v>
      </c>
      <c r="M430" s="48">
        <v>9.36</v>
      </c>
      <c r="N430" s="48">
        <v>169.01000000000005</v>
      </c>
    </row>
    <row r="431" spans="1:14" x14ac:dyDescent="0.25">
      <c r="A431" s="47"/>
      <c r="B431" s="49"/>
      <c r="C431" s="49"/>
      <c r="D431" s="49"/>
      <c r="E431" s="47" t="s">
        <v>137</v>
      </c>
      <c r="F431" s="49">
        <v>0</v>
      </c>
      <c r="G431" s="48">
        <v>-14.3</v>
      </c>
      <c r="H431" s="47"/>
      <c r="I431" s="49"/>
      <c r="J431" s="49"/>
      <c r="L431" s="47" t="s">
        <v>135</v>
      </c>
      <c r="M431" s="48">
        <v>0.32</v>
      </c>
      <c r="N431" s="48">
        <v>5.83</v>
      </c>
    </row>
    <row r="432" spans="1:14" x14ac:dyDescent="0.25">
      <c r="A432" s="47"/>
      <c r="B432" s="49"/>
      <c r="C432" s="49"/>
      <c r="D432" s="49"/>
      <c r="E432" s="47" t="s">
        <v>133</v>
      </c>
      <c r="F432" s="48">
        <v>-2.9</v>
      </c>
      <c r="G432" s="48">
        <v>-52.449999999999996</v>
      </c>
      <c r="H432" s="47"/>
      <c r="I432" s="49"/>
      <c r="J432" s="49"/>
      <c r="L432" s="47"/>
      <c r="M432" s="49"/>
      <c r="N432" s="49"/>
    </row>
    <row r="433" spans="1:14" ht="15" customHeight="1" x14ac:dyDescent="0.25">
      <c r="A433" s="53" t="s">
        <v>289</v>
      </c>
      <c r="B433" s="51">
        <f>SUM(B426:B432)</f>
        <v>29.12</v>
      </c>
      <c r="C433" s="51">
        <f>SUM(C426:C432)</f>
        <v>322.69</v>
      </c>
      <c r="D433" s="51">
        <f>SUM(D426:D432)</f>
        <v>5827.8899999999994</v>
      </c>
      <c r="E433" s="53" t="s">
        <v>290</v>
      </c>
      <c r="F433" s="51">
        <f>SUM(F426:F432)</f>
        <v>-50.580000000000005</v>
      </c>
      <c r="G433" s="51">
        <f>SUM(G426:G432)</f>
        <v>-952.57999999999993</v>
      </c>
      <c r="H433" s="53" t="s">
        <v>291</v>
      </c>
      <c r="I433" s="52">
        <f>SUM(I426:I432)</f>
        <v>0</v>
      </c>
      <c r="J433" s="52">
        <f>SUM(J426:J432)</f>
        <v>0</v>
      </c>
      <c r="K433" s="54"/>
      <c r="L433" s="53" t="s">
        <v>292</v>
      </c>
      <c r="M433" s="51">
        <f>SUM(M426:M432)</f>
        <v>36.300000000000004</v>
      </c>
      <c r="N433" s="51">
        <f>SUM(N426:N432)</f>
        <v>655.64</v>
      </c>
    </row>
    <row r="434" spans="1:14" ht="19.95" customHeight="1" x14ac:dyDescent="0.25">
      <c r="H434" s="53" t="s">
        <v>293</v>
      </c>
      <c r="I434" s="51">
        <f>C433+F433+I433</f>
        <v>272.11</v>
      </c>
      <c r="J434" s="51">
        <f>D433+G433+J433</f>
        <v>4875.3099999999995</v>
      </c>
    </row>
    <row r="435" spans="1:14" ht="15" customHeight="1" x14ac:dyDescent="0.25">
      <c r="A435" s="40" t="s">
        <v>214</v>
      </c>
      <c r="B435" s="41"/>
      <c r="C435" s="41"/>
      <c r="D435" s="40" t="s">
        <v>378</v>
      </c>
      <c r="E435" s="41"/>
      <c r="F435" s="41"/>
      <c r="G435" s="41"/>
      <c r="H435" s="41"/>
      <c r="I435" s="42" t="s">
        <v>379</v>
      </c>
      <c r="J435" s="43"/>
      <c r="K435" s="39"/>
      <c r="L435" s="38"/>
      <c r="M435" s="38"/>
      <c r="N435" s="38"/>
    </row>
    <row r="436" spans="1:14" x14ac:dyDescent="0.25">
      <c r="A436" s="45" t="s">
        <v>284</v>
      </c>
      <c r="B436" s="44" t="s">
        <v>125</v>
      </c>
      <c r="C436" s="44" t="s">
        <v>285</v>
      </c>
      <c r="D436" s="44" t="s">
        <v>286</v>
      </c>
      <c r="E436" s="45" t="s">
        <v>287</v>
      </c>
      <c r="F436" s="44" t="s">
        <v>285</v>
      </c>
      <c r="G436" s="44" t="s">
        <v>286</v>
      </c>
      <c r="H436" s="45" t="s">
        <v>288</v>
      </c>
      <c r="I436" s="44" t="s">
        <v>285</v>
      </c>
      <c r="J436" s="44" t="s">
        <v>286</v>
      </c>
      <c r="K436" s="46"/>
      <c r="L436" s="45" t="s">
        <v>288</v>
      </c>
      <c r="M436" s="44" t="s">
        <v>285</v>
      </c>
      <c r="N436" s="44" t="s">
        <v>286</v>
      </c>
    </row>
    <row r="437" spans="1:14" x14ac:dyDescent="0.25">
      <c r="A437" s="47" t="s">
        <v>141</v>
      </c>
      <c r="B437" s="48">
        <v>68.78</v>
      </c>
      <c r="C437" s="48">
        <v>928.54</v>
      </c>
      <c r="D437" s="48">
        <v>13587.989999999998</v>
      </c>
      <c r="E437" s="47" t="s">
        <v>140</v>
      </c>
      <c r="F437" s="48">
        <v>-38</v>
      </c>
      <c r="G437" s="48">
        <v>-455</v>
      </c>
      <c r="H437" s="47" t="s">
        <v>130</v>
      </c>
      <c r="I437" s="49">
        <v>0</v>
      </c>
      <c r="J437" s="49">
        <v>0</v>
      </c>
      <c r="L437" s="47" t="s">
        <v>146</v>
      </c>
      <c r="M437" s="48">
        <v>57.57</v>
      </c>
      <c r="N437" s="48">
        <v>862.38</v>
      </c>
    </row>
    <row r="438" spans="1:14" x14ac:dyDescent="0.25">
      <c r="A438" s="47" t="s">
        <v>255</v>
      </c>
      <c r="B438" s="49">
        <v>0</v>
      </c>
      <c r="C438" s="49">
        <v>0</v>
      </c>
      <c r="D438" s="48">
        <v>261.36</v>
      </c>
      <c r="E438" s="47" t="s">
        <v>147</v>
      </c>
      <c r="F438" s="48">
        <v>-57.57</v>
      </c>
      <c r="G438" s="48">
        <v>-862.38</v>
      </c>
      <c r="H438" s="47"/>
      <c r="I438" s="49"/>
      <c r="J438" s="49"/>
      <c r="L438" s="47" t="s">
        <v>142</v>
      </c>
      <c r="M438" s="48">
        <v>13.46</v>
      </c>
      <c r="N438" s="48">
        <v>201.67999999999998</v>
      </c>
    </row>
    <row r="439" spans="1:14" x14ac:dyDescent="0.25">
      <c r="A439" s="47" t="s">
        <v>145</v>
      </c>
      <c r="B439" s="49">
        <v>0</v>
      </c>
      <c r="C439" s="49">
        <v>0</v>
      </c>
      <c r="D439" s="48">
        <v>59.94</v>
      </c>
      <c r="E439" s="47" t="s">
        <v>143</v>
      </c>
      <c r="F439" s="48">
        <v>-13.46</v>
      </c>
      <c r="G439" s="48">
        <v>-201.67999999999998</v>
      </c>
      <c r="H439" s="47"/>
      <c r="I439" s="49"/>
      <c r="J439" s="49"/>
      <c r="L439" s="47" t="s">
        <v>138</v>
      </c>
      <c r="M439" s="49">
        <v>0</v>
      </c>
      <c r="N439" s="48">
        <v>42</v>
      </c>
    </row>
    <row r="440" spans="1:14" x14ac:dyDescent="0.25">
      <c r="A440" s="47"/>
      <c r="B440" s="49"/>
      <c r="C440" s="49"/>
      <c r="D440" s="49"/>
      <c r="E440" s="47" t="s">
        <v>144</v>
      </c>
      <c r="F440" s="49">
        <v>0</v>
      </c>
      <c r="G440" s="49">
        <v>0</v>
      </c>
      <c r="H440" s="47"/>
      <c r="I440" s="49"/>
      <c r="J440" s="49"/>
      <c r="L440" s="47" t="s">
        <v>136</v>
      </c>
      <c r="M440" s="49">
        <v>0</v>
      </c>
      <c r="N440" s="48">
        <v>203.00000000000003</v>
      </c>
    </row>
    <row r="441" spans="1:14" x14ac:dyDescent="0.25">
      <c r="A441" s="47"/>
      <c r="B441" s="49"/>
      <c r="C441" s="49"/>
      <c r="D441" s="49"/>
      <c r="E441" s="47" t="s">
        <v>137</v>
      </c>
      <c r="F441" s="48">
        <v>-0.31</v>
      </c>
      <c r="G441" s="48">
        <v>-4.9799999999999995</v>
      </c>
      <c r="H441" s="47"/>
      <c r="I441" s="49"/>
      <c r="J441" s="49"/>
      <c r="L441" s="47" t="s">
        <v>135</v>
      </c>
      <c r="M441" s="49">
        <v>0</v>
      </c>
      <c r="N441" s="48">
        <v>7.0000000000000009</v>
      </c>
    </row>
    <row r="442" spans="1:14" x14ac:dyDescent="0.25">
      <c r="A442" s="47"/>
      <c r="B442" s="49"/>
      <c r="C442" s="49"/>
      <c r="D442" s="49"/>
      <c r="E442" s="47" t="s">
        <v>133</v>
      </c>
      <c r="F442" s="48">
        <v>-8.35</v>
      </c>
      <c r="G442" s="48">
        <v>-125.17999999999999</v>
      </c>
      <c r="H442" s="47"/>
      <c r="I442" s="49"/>
      <c r="J442" s="49"/>
      <c r="L442" s="47"/>
      <c r="M442" s="49"/>
      <c r="N442" s="49"/>
    </row>
    <row r="443" spans="1:14" ht="15" customHeight="1" x14ac:dyDescent="0.25">
      <c r="A443" s="53" t="s">
        <v>289</v>
      </c>
      <c r="B443" s="51">
        <f>SUM(B436:B442)</f>
        <v>68.78</v>
      </c>
      <c r="C443" s="51">
        <f>SUM(C436:C442)</f>
        <v>928.54</v>
      </c>
      <c r="D443" s="51">
        <f>SUM(D436:D442)</f>
        <v>13909.289999999999</v>
      </c>
      <c r="E443" s="53" t="s">
        <v>290</v>
      </c>
      <c r="F443" s="51">
        <f>SUM(F436:F442)</f>
        <v>-117.69</v>
      </c>
      <c r="G443" s="51">
        <f>SUM(G436:G442)</f>
        <v>-1649.2200000000003</v>
      </c>
      <c r="H443" s="53" t="s">
        <v>291</v>
      </c>
      <c r="I443" s="52">
        <f>SUM(I436:I442)</f>
        <v>0</v>
      </c>
      <c r="J443" s="52">
        <f>SUM(J436:J442)</f>
        <v>0</v>
      </c>
      <c r="K443" s="54"/>
      <c r="L443" s="53" t="s">
        <v>292</v>
      </c>
      <c r="M443" s="51">
        <f>SUM(M436:M442)</f>
        <v>71.03</v>
      </c>
      <c r="N443" s="51">
        <f>SUM(N436:N442)</f>
        <v>1316.06</v>
      </c>
    </row>
    <row r="444" spans="1:14" ht="19.95" customHeight="1" x14ac:dyDescent="0.25">
      <c r="H444" s="53" t="s">
        <v>293</v>
      </c>
      <c r="I444" s="51">
        <f>C443+F443+I443</f>
        <v>810.84999999999991</v>
      </c>
      <c r="J444" s="51">
        <f>D443+G443+J443</f>
        <v>12260.07</v>
      </c>
    </row>
    <row r="445" spans="1:14" ht="15" customHeight="1" x14ac:dyDescent="0.25">
      <c r="A445" s="40" t="s">
        <v>216</v>
      </c>
      <c r="B445" s="41"/>
      <c r="C445" s="41"/>
      <c r="D445" s="40" t="s">
        <v>380</v>
      </c>
      <c r="E445" s="41"/>
      <c r="F445" s="41"/>
      <c r="G445" s="41"/>
      <c r="H445" s="41"/>
      <c r="I445" s="42" t="s">
        <v>381</v>
      </c>
      <c r="J445" s="43"/>
      <c r="K445" s="39"/>
      <c r="L445" s="38"/>
      <c r="M445" s="38"/>
      <c r="N445" s="38"/>
    </row>
    <row r="446" spans="1:14" x14ac:dyDescent="0.25">
      <c r="A446" s="45" t="s">
        <v>284</v>
      </c>
      <c r="B446" s="44" t="s">
        <v>125</v>
      </c>
      <c r="C446" s="44" t="s">
        <v>285</v>
      </c>
      <c r="D446" s="44" t="s">
        <v>286</v>
      </c>
      <c r="E446" s="45" t="s">
        <v>287</v>
      </c>
      <c r="F446" s="44" t="s">
        <v>285</v>
      </c>
      <c r="G446" s="44" t="s">
        <v>286</v>
      </c>
      <c r="H446" s="45" t="s">
        <v>288</v>
      </c>
      <c r="I446" s="44" t="s">
        <v>285</v>
      </c>
      <c r="J446" s="44" t="s">
        <v>286</v>
      </c>
      <c r="K446" s="46"/>
      <c r="L446" s="45" t="s">
        <v>288</v>
      </c>
      <c r="M446" s="44" t="s">
        <v>285</v>
      </c>
      <c r="N446" s="44" t="s">
        <v>286</v>
      </c>
    </row>
    <row r="447" spans="1:14" x14ac:dyDescent="0.25">
      <c r="A447" s="47" t="s">
        <v>141</v>
      </c>
      <c r="B447" s="48">
        <v>67.510000000000005</v>
      </c>
      <c r="C447" s="48">
        <v>810.12</v>
      </c>
      <c r="D447" s="48">
        <v>9033.4900000000016</v>
      </c>
      <c r="E447" s="47" t="s">
        <v>140</v>
      </c>
      <c r="F447" s="48">
        <v>-25</v>
      </c>
      <c r="G447" s="48">
        <v>-205</v>
      </c>
      <c r="H447" s="47"/>
      <c r="I447" s="49"/>
      <c r="J447" s="49"/>
      <c r="L447" s="47" t="s">
        <v>146</v>
      </c>
      <c r="M447" s="48">
        <v>50.26</v>
      </c>
      <c r="N447" s="48">
        <v>563.33000000000004</v>
      </c>
    </row>
    <row r="448" spans="1:14" x14ac:dyDescent="0.25">
      <c r="A448" s="47" t="s">
        <v>145</v>
      </c>
      <c r="B448" s="48">
        <v>0.03</v>
      </c>
      <c r="C448" s="48">
        <v>0.54</v>
      </c>
      <c r="D448" s="48">
        <v>52.550000000000004</v>
      </c>
      <c r="E448" s="47" t="s">
        <v>147</v>
      </c>
      <c r="F448" s="48">
        <v>-50.26</v>
      </c>
      <c r="G448" s="48">
        <v>-563.33000000000004</v>
      </c>
      <c r="H448" s="47"/>
      <c r="I448" s="49"/>
      <c r="J448" s="49"/>
      <c r="L448" s="47" t="s">
        <v>142</v>
      </c>
      <c r="M448" s="48">
        <v>11.76</v>
      </c>
      <c r="N448" s="48">
        <v>131.75</v>
      </c>
    </row>
    <row r="449" spans="1:14" x14ac:dyDescent="0.25">
      <c r="A449" s="47"/>
      <c r="B449" s="49"/>
      <c r="C449" s="49"/>
      <c r="D449" s="49"/>
      <c r="E449" s="47" t="s">
        <v>143</v>
      </c>
      <c r="F449" s="48">
        <v>-11.76</v>
      </c>
      <c r="G449" s="48">
        <v>-131.75</v>
      </c>
      <c r="H449" s="47"/>
      <c r="I449" s="49"/>
      <c r="J449" s="49"/>
      <c r="L449" s="47" t="s">
        <v>138</v>
      </c>
      <c r="M449" s="49">
        <v>0</v>
      </c>
      <c r="N449" s="48">
        <v>42.000000000000007</v>
      </c>
    </row>
    <row r="450" spans="1:14" x14ac:dyDescent="0.25">
      <c r="A450" s="47"/>
      <c r="B450" s="49"/>
      <c r="C450" s="49"/>
      <c r="D450" s="49"/>
      <c r="E450" s="47" t="s">
        <v>144</v>
      </c>
      <c r="F450" s="49">
        <v>0</v>
      </c>
      <c r="G450" s="49">
        <v>0</v>
      </c>
      <c r="H450" s="47"/>
      <c r="I450" s="49"/>
      <c r="J450" s="49"/>
      <c r="L450" s="47" t="s">
        <v>136</v>
      </c>
      <c r="M450" s="49">
        <v>0</v>
      </c>
      <c r="N450" s="48">
        <v>203</v>
      </c>
    </row>
    <row r="451" spans="1:14" x14ac:dyDescent="0.25">
      <c r="A451" s="47"/>
      <c r="B451" s="49"/>
      <c r="C451" s="49"/>
      <c r="D451" s="49"/>
      <c r="E451" s="47" t="s">
        <v>137</v>
      </c>
      <c r="F451" s="49">
        <v>0</v>
      </c>
      <c r="G451" s="49">
        <v>0</v>
      </c>
      <c r="H451" s="47"/>
      <c r="I451" s="49"/>
      <c r="J451" s="49"/>
      <c r="L451" s="47" t="s">
        <v>135</v>
      </c>
      <c r="M451" s="49">
        <v>0</v>
      </c>
      <c r="N451" s="48">
        <v>7.0000000000000009</v>
      </c>
    </row>
    <row r="452" spans="1:14" x14ac:dyDescent="0.25">
      <c r="A452" s="47"/>
      <c r="B452" s="49"/>
      <c r="C452" s="49"/>
      <c r="D452" s="49"/>
      <c r="E452" s="47" t="s">
        <v>133</v>
      </c>
      <c r="F452" s="48">
        <v>-7.29</v>
      </c>
      <c r="G452" s="48">
        <v>-81.77000000000001</v>
      </c>
      <c r="H452" s="47"/>
      <c r="I452" s="49"/>
      <c r="J452" s="49"/>
      <c r="L452" s="47"/>
      <c r="M452" s="49"/>
      <c r="N452" s="49"/>
    </row>
    <row r="453" spans="1:14" ht="15" customHeight="1" x14ac:dyDescent="0.25">
      <c r="A453" s="53" t="s">
        <v>289</v>
      </c>
      <c r="B453" s="51">
        <f>SUM(B446:B452)</f>
        <v>67.540000000000006</v>
      </c>
      <c r="C453" s="51">
        <f>SUM(C446:C452)</f>
        <v>810.66</v>
      </c>
      <c r="D453" s="51">
        <f>SUM(D446:D452)</f>
        <v>9086.0400000000009</v>
      </c>
      <c r="E453" s="53" t="s">
        <v>290</v>
      </c>
      <c r="F453" s="51">
        <f>SUM(F446:F452)</f>
        <v>-94.31</v>
      </c>
      <c r="G453" s="51">
        <f>SUM(G446:G452)</f>
        <v>-981.85</v>
      </c>
      <c r="H453" s="53" t="s">
        <v>291</v>
      </c>
      <c r="I453" s="52">
        <f>SUM(I446:I452)</f>
        <v>0</v>
      </c>
      <c r="J453" s="52">
        <f>SUM(J446:J452)</f>
        <v>0</v>
      </c>
      <c r="K453" s="54"/>
      <c r="L453" s="53" t="s">
        <v>292</v>
      </c>
      <c r="M453" s="51">
        <f>SUM(M446:M452)</f>
        <v>62.019999999999996</v>
      </c>
      <c r="N453" s="51">
        <f>SUM(N446:N452)</f>
        <v>947.08</v>
      </c>
    </row>
    <row r="454" spans="1:14" ht="19.95" customHeight="1" x14ac:dyDescent="0.25">
      <c r="H454" s="53" t="s">
        <v>293</v>
      </c>
      <c r="I454" s="51">
        <f>C453+F453+I453</f>
        <v>716.34999999999991</v>
      </c>
      <c r="J454" s="51">
        <f>D453+G453+J453</f>
        <v>8104.1900000000005</v>
      </c>
    </row>
    <row r="455" spans="1:14" ht="15" customHeight="1" x14ac:dyDescent="0.25">
      <c r="A455" s="40" t="s">
        <v>127</v>
      </c>
      <c r="B455" s="41"/>
      <c r="C455" s="41"/>
      <c r="D455" s="40" t="s">
        <v>382</v>
      </c>
      <c r="E455" s="41"/>
      <c r="F455" s="41"/>
      <c r="G455" s="41"/>
      <c r="H455" s="41"/>
      <c r="I455" s="42" t="s">
        <v>383</v>
      </c>
      <c r="J455" s="43"/>
      <c r="K455" s="39"/>
      <c r="L455" s="38"/>
      <c r="M455" s="38"/>
      <c r="N455" s="38"/>
    </row>
    <row r="456" spans="1:14" x14ac:dyDescent="0.25">
      <c r="A456" s="45" t="s">
        <v>284</v>
      </c>
      <c r="B456" s="44" t="s">
        <v>125</v>
      </c>
      <c r="C456" s="44" t="s">
        <v>285</v>
      </c>
      <c r="D456" s="44" t="s">
        <v>286</v>
      </c>
      <c r="E456" s="45" t="s">
        <v>287</v>
      </c>
      <c r="F456" s="44" t="s">
        <v>285</v>
      </c>
      <c r="G456" s="44" t="s">
        <v>286</v>
      </c>
      <c r="H456" s="45" t="s">
        <v>288</v>
      </c>
      <c r="I456" s="44" t="s">
        <v>285</v>
      </c>
      <c r="J456" s="44" t="s">
        <v>286</v>
      </c>
      <c r="K456" s="46"/>
      <c r="L456" s="45" t="s">
        <v>288</v>
      </c>
      <c r="M456" s="44" t="s">
        <v>285</v>
      </c>
      <c r="N456" s="44" t="s">
        <v>286</v>
      </c>
    </row>
    <row r="457" spans="1:14" x14ac:dyDescent="0.25">
      <c r="A457" s="47" t="s">
        <v>141</v>
      </c>
      <c r="B457" s="48">
        <v>47.77</v>
      </c>
      <c r="C457" s="48">
        <v>668.78</v>
      </c>
      <c r="D457" s="48">
        <v>11349.24</v>
      </c>
      <c r="E457" s="47" t="s">
        <v>140</v>
      </c>
      <c r="F457" s="48">
        <v>-27</v>
      </c>
      <c r="G457" s="48">
        <v>-466</v>
      </c>
      <c r="H457" s="47" t="s">
        <v>130</v>
      </c>
      <c r="I457" s="48">
        <v>-100</v>
      </c>
      <c r="J457" s="48">
        <v>150</v>
      </c>
      <c r="L457" s="47" t="s">
        <v>146</v>
      </c>
      <c r="M457" s="48">
        <v>41.46</v>
      </c>
      <c r="N457" s="48">
        <v>736.16</v>
      </c>
    </row>
    <row r="458" spans="1:14" x14ac:dyDescent="0.25">
      <c r="A458" s="47" t="s">
        <v>250</v>
      </c>
      <c r="B458" s="49">
        <v>0</v>
      </c>
      <c r="C458" s="49">
        <v>0</v>
      </c>
      <c r="D458" s="48">
        <v>336</v>
      </c>
      <c r="E458" s="47" t="s">
        <v>147</v>
      </c>
      <c r="F458" s="48">
        <v>-41.46</v>
      </c>
      <c r="G458" s="48">
        <v>-736.16</v>
      </c>
      <c r="H458" s="47"/>
      <c r="I458" s="49"/>
      <c r="J458" s="49"/>
      <c r="L458" s="47" t="s">
        <v>142</v>
      </c>
      <c r="M458" s="48">
        <v>9.6999999999999993</v>
      </c>
      <c r="N458" s="48">
        <v>172.17000000000002</v>
      </c>
    </row>
    <row r="459" spans="1:14" x14ac:dyDescent="0.25">
      <c r="A459" s="47" t="s">
        <v>145</v>
      </c>
      <c r="B459" s="49">
        <v>0</v>
      </c>
      <c r="C459" s="49">
        <v>0</v>
      </c>
      <c r="D459" s="48">
        <v>67.41</v>
      </c>
      <c r="E459" s="47" t="s">
        <v>143</v>
      </c>
      <c r="F459" s="48">
        <v>-9.6999999999999993</v>
      </c>
      <c r="G459" s="48">
        <v>-172.17000000000002</v>
      </c>
      <c r="H459" s="47"/>
      <c r="I459" s="49"/>
      <c r="J459" s="49"/>
      <c r="L459" s="47" t="s">
        <v>138</v>
      </c>
      <c r="M459" s="49">
        <v>0</v>
      </c>
      <c r="N459" s="48">
        <v>41.999999999999993</v>
      </c>
    </row>
    <row r="460" spans="1:14" x14ac:dyDescent="0.25">
      <c r="A460" s="47" t="s">
        <v>253</v>
      </c>
      <c r="B460" s="49">
        <v>0</v>
      </c>
      <c r="C460" s="49">
        <v>0</v>
      </c>
      <c r="D460" s="48">
        <v>120.96000000000001</v>
      </c>
      <c r="E460" s="47" t="s">
        <v>144</v>
      </c>
      <c r="F460" s="49">
        <v>0</v>
      </c>
      <c r="G460" s="49">
        <v>0</v>
      </c>
      <c r="H460" s="47"/>
      <c r="I460" s="49"/>
      <c r="J460" s="49"/>
      <c r="L460" s="47" t="s">
        <v>136</v>
      </c>
      <c r="M460" s="49">
        <v>0</v>
      </c>
      <c r="N460" s="48">
        <v>203</v>
      </c>
    </row>
    <row r="461" spans="1:14" x14ac:dyDescent="0.25">
      <c r="A461" s="47"/>
      <c r="B461" s="49"/>
      <c r="C461" s="49"/>
      <c r="D461" s="49"/>
      <c r="E461" s="47" t="s">
        <v>137</v>
      </c>
      <c r="F461" s="49">
        <v>0</v>
      </c>
      <c r="G461" s="48">
        <v>-0.1</v>
      </c>
      <c r="H461" s="47"/>
      <c r="I461" s="49"/>
      <c r="J461" s="49"/>
      <c r="L461" s="47" t="s">
        <v>135</v>
      </c>
      <c r="M461" s="49">
        <v>0</v>
      </c>
      <c r="N461" s="48">
        <v>6.9999999999999991</v>
      </c>
    </row>
    <row r="462" spans="1:14" x14ac:dyDescent="0.25">
      <c r="A462" s="47"/>
      <c r="B462" s="49"/>
      <c r="C462" s="49"/>
      <c r="D462" s="49"/>
      <c r="E462" s="47" t="s">
        <v>133</v>
      </c>
      <c r="F462" s="48">
        <v>-6.02</v>
      </c>
      <c r="G462" s="48">
        <v>-106.85999999999999</v>
      </c>
      <c r="H462" s="47"/>
      <c r="I462" s="49"/>
      <c r="J462" s="49"/>
      <c r="L462" s="47"/>
      <c r="M462" s="49"/>
      <c r="N462" s="49"/>
    </row>
    <row r="463" spans="1:14" ht="15" customHeight="1" x14ac:dyDescent="0.25">
      <c r="A463" s="53" t="s">
        <v>289</v>
      </c>
      <c r="B463" s="51">
        <f>SUM(B456:B462)</f>
        <v>47.77</v>
      </c>
      <c r="C463" s="51">
        <f>SUM(C456:C462)</f>
        <v>668.78</v>
      </c>
      <c r="D463" s="51">
        <f>SUM(D456:D462)</f>
        <v>11873.609999999999</v>
      </c>
      <c r="E463" s="53" t="s">
        <v>290</v>
      </c>
      <c r="F463" s="51">
        <f>SUM(F456:F462)</f>
        <v>-84.18</v>
      </c>
      <c r="G463" s="51">
        <f>SUM(G456:G462)</f>
        <v>-1481.2899999999997</v>
      </c>
      <c r="H463" s="53" t="s">
        <v>291</v>
      </c>
      <c r="I463" s="51">
        <f>SUM(I456:I462)</f>
        <v>-100</v>
      </c>
      <c r="J463" s="51">
        <f>SUM(J456:J462)</f>
        <v>150</v>
      </c>
      <c r="K463" s="54"/>
      <c r="L463" s="53" t="s">
        <v>292</v>
      </c>
      <c r="M463" s="51">
        <f>SUM(M456:M462)</f>
        <v>51.16</v>
      </c>
      <c r="N463" s="51">
        <f>SUM(N456:N462)</f>
        <v>1160.33</v>
      </c>
    </row>
    <row r="464" spans="1:14" ht="19.95" customHeight="1" x14ac:dyDescent="0.25">
      <c r="H464" s="53" t="s">
        <v>293</v>
      </c>
      <c r="I464" s="51">
        <f>C463+F463+I463</f>
        <v>484.59999999999991</v>
      </c>
      <c r="J464" s="51">
        <f>D463+G463+J463</f>
        <v>10542.32</v>
      </c>
    </row>
    <row r="465" spans="1:14" ht="15" customHeight="1" x14ac:dyDescent="0.25">
      <c r="A465" s="40" t="s">
        <v>218</v>
      </c>
      <c r="B465" s="41"/>
      <c r="C465" s="41"/>
      <c r="D465" s="40" t="s">
        <v>384</v>
      </c>
      <c r="E465" s="41"/>
      <c r="F465" s="41"/>
      <c r="G465" s="41"/>
      <c r="H465" s="41"/>
      <c r="I465" s="42" t="s">
        <v>385</v>
      </c>
      <c r="J465" s="43"/>
      <c r="K465" s="39"/>
      <c r="L465" s="38"/>
      <c r="M465" s="38"/>
      <c r="N465" s="38"/>
    </row>
    <row r="466" spans="1:14" x14ac:dyDescent="0.25">
      <c r="A466" s="45" t="s">
        <v>284</v>
      </c>
      <c r="B466" s="44" t="s">
        <v>125</v>
      </c>
      <c r="C466" s="44" t="s">
        <v>285</v>
      </c>
      <c r="D466" s="44" t="s">
        <v>286</v>
      </c>
      <c r="E466" s="45" t="s">
        <v>287</v>
      </c>
      <c r="F466" s="44" t="s">
        <v>285</v>
      </c>
      <c r="G466" s="44" t="s">
        <v>286</v>
      </c>
      <c r="H466" s="45" t="s">
        <v>288</v>
      </c>
      <c r="I466" s="44" t="s">
        <v>285</v>
      </c>
      <c r="J466" s="44" t="s">
        <v>286</v>
      </c>
      <c r="K466" s="46"/>
      <c r="L466" s="45" t="s">
        <v>288</v>
      </c>
      <c r="M466" s="44" t="s">
        <v>285</v>
      </c>
      <c r="N466" s="44" t="s">
        <v>286</v>
      </c>
    </row>
    <row r="467" spans="1:14" x14ac:dyDescent="0.25">
      <c r="A467" s="47" t="s">
        <v>141</v>
      </c>
      <c r="B467" s="48">
        <v>33.68</v>
      </c>
      <c r="C467" s="48">
        <v>404.16</v>
      </c>
      <c r="D467" s="48">
        <v>5476.92</v>
      </c>
      <c r="E467" s="47" t="s">
        <v>140</v>
      </c>
      <c r="F467" s="49">
        <v>0</v>
      </c>
      <c r="G467" s="49">
        <v>0</v>
      </c>
      <c r="H467" s="47" t="s">
        <v>130</v>
      </c>
      <c r="I467" s="49">
        <v>0</v>
      </c>
      <c r="J467" s="48">
        <v>-350</v>
      </c>
      <c r="L467" s="47" t="s">
        <v>146</v>
      </c>
      <c r="M467" s="48">
        <v>29.11</v>
      </c>
      <c r="N467" s="48">
        <v>396.11</v>
      </c>
    </row>
    <row r="468" spans="1:14" x14ac:dyDescent="0.25">
      <c r="A468" s="47" t="s">
        <v>250</v>
      </c>
      <c r="B468" s="49">
        <v>0</v>
      </c>
      <c r="C468" s="49">
        <v>0</v>
      </c>
      <c r="D468" s="48">
        <v>288</v>
      </c>
      <c r="E468" s="47" t="s">
        <v>147</v>
      </c>
      <c r="F468" s="48">
        <v>-29.11</v>
      </c>
      <c r="G468" s="48">
        <v>-396.11</v>
      </c>
      <c r="H468" s="47"/>
      <c r="I468" s="49"/>
      <c r="J468" s="49"/>
      <c r="L468" s="47" t="s">
        <v>142</v>
      </c>
      <c r="M468" s="48">
        <v>6.81</v>
      </c>
      <c r="N468" s="48">
        <v>92.640000000000015</v>
      </c>
    </row>
    <row r="469" spans="1:14" x14ac:dyDescent="0.25">
      <c r="A469" s="47" t="s">
        <v>145</v>
      </c>
      <c r="B469" s="48">
        <v>3.63</v>
      </c>
      <c r="C469" s="48">
        <v>65.34</v>
      </c>
      <c r="D469" s="48">
        <v>524.70000000000005</v>
      </c>
      <c r="E469" s="47" t="s">
        <v>143</v>
      </c>
      <c r="F469" s="48">
        <v>-6.81</v>
      </c>
      <c r="G469" s="48">
        <v>-92.640000000000015</v>
      </c>
      <c r="H469" s="47"/>
      <c r="I469" s="49"/>
      <c r="J469" s="49"/>
      <c r="L469" s="47" t="s">
        <v>138</v>
      </c>
      <c r="M469" s="48">
        <v>2.81</v>
      </c>
      <c r="N469" s="48">
        <v>38.33</v>
      </c>
    </row>
    <row r="470" spans="1:14" x14ac:dyDescent="0.25">
      <c r="A470" s="47" t="s">
        <v>253</v>
      </c>
      <c r="B470" s="49">
        <v>0</v>
      </c>
      <c r="C470" s="49">
        <v>0</v>
      </c>
      <c r="D470" s="48">
        <v>99.24</v>
      </c>
      <c r="E470" s="47" t="s">
        <v>144</v>
      </c>
      <c r="F470" s="49">
        <v>0</v>
      </c>
      <c r="G470" s="49">
        <v>0</v>
      </c>
      <c r="H470" s="47"/>
      <c r="I470" s="49"/>
      <c r="J470" s="49"/>
      <c r="L470" s="47" t="s">
        <v>136</v>
      </c>
      <c r="M470" s="48">
        <v>13.62</v>
      </c>
      <c r="N470" s="48">
        <v>185.28</v>
      </c>
    </row>
    <row r="471" spans="1:14" x14ac:dyDescent="0.25">
      <c r="A471" s="47"/>
      <c r="B471" s="49"/>
      <c r="C471" s="49"/>
      <c r="D471" s="49"/>
      <c r="E471" s="47" t="s">
        <v>137</v>
      </c>
      <c r="F471" s="49">
        <v>0</v>
      </c>
      <c r="G471" s="49">
        <v>0</v>
      </c>
      <c r="H471" s="47"/>
      <c r="I471" s="49"/>
      <c r="J471" s="49"/>
      <c r="L471" s="47" t="s">
        <v>135</v>
      </c>
      <c r="M471" s="48">
        <v>0.47</v>
      </c>
      <c r="N471" s="48">
        <v>6.39</v>
      </c>
    </row>
    <row r="472" spans="1:14" x14ac:dyDescent="0.25">
      <c r="A472" s="47"/>
      <c r="B472" s="49"/>
      <c r="C472" s="49"/>
      <c r="D472" s="49"/>
      <c r="E472" s="47" t="s">
        <v>133</v>
      </c>
      <c r="F472" s="48">
        <v>-4.2300000000000004</v>
      </c>
      <c r="G472" s="48">
        <v>-57.5</v>
      </c>
      <c r="H472" s="47"/>
      <c r="I472" s="49"/>
      <c r="J472" s="49"/>
      <c r="L472" s="47"/>
      <c r="M472" s="49"/>
      <c r="N472" s="49"/>
    </row>
    <row r="473" spans="1:14" ht="15" customHeight="1" x14ac:dyDescent="0.25">
      <c r="A473" s="53" t="s">
        <v>289</v>
      </c>
      <c r="B473" s="51">
        <f>SUM(B466:B472)</f>
        <v>37.31</v>
      </c>
      <c r="C473" s="51">
        <f>SUM(C466:C472)</f>
        <v>469.5</v>
      </c>
      <c r="D473" s="51">
        <f>SUM(D466:D472)</f>
        <v>6388.86</v>
      </c>
      <c r="E473" s="53" t="s">
        <v>290</v>
      </c>
      <c r="F473" s="51">
        <f>SUM(F466:F472)</f>
        <v>-40.150000000000006</v>
      </c>
      <c r="G473" s="51">
        <f>SUM(G466:G472)</f>
        <v>-546.25</v>
      </c>
      <c r="H473" s="53" t="s">
        <v>291</v>
      </c>
      <c r="I473" s="52">
        <f>SUM(I466:I472)</f>
        <v>0</v>
      </c>
      <c r="J473" s="51">
        <f>SUM(J466:J472)</f>
        <v>-350</v>
      </c>
      <c r="K473" s="54"/>
      <c r="L473" s="53" t="s">
        <v>292</v>
      </c>
      <c r="M473" s="51">
        <f>SUM(M466:M472)</f>
        <v>52.82</v>
      </c>
      <c r="N473" s="51">
        <f>SUM(N466:N472)</f>
        <v>718.75</v>
      </c>
    </row>
    <row r="474" spans="1:14" ht="19.95" customHeight="1" x14ac:dyDescent="0.25">
      <c r="H474" s="53" t="s">
        <v>293</v>
      </c>
      <c r="I474" s="51">
        <f>C473+F473+I473</f>
        <v>429.35</v>
      </c>
      <c r="J474" s="51">
        <f>D473+G473+J473</f>
        <v>5492.61</v>
      </c>
    </row>
    <row r="475" spans="1:14" ht="15" customHeight="1" x14ac:dyDescent="0.25">
      <c r="A475" s="40" t="s">
        <v>220</v>
      </c>
      <c r="B475" s="41"/>
      <c r="C475" s="41"/>
      <c r="D475" s="40" t="s">
        <v>386</v>
      </c>
      <c r="E475" s="41"/>
      <c r="F475" s="41"/>
      <c r="G475" s="41"/>
      <c r="H475" s="41"/>
      <c r="I475" s="42" t="s">
        <v>387</v>
      </c>
      <c r="J475" s="43"/>
      <c r="K475" s="39"/>
      <c r="L475" s="38"/>
      <c r="M475" s="38"/>
      <c r="N475" s="38"/>
    </row>
    <row r="476" spans="1:14" x14ac:dyDescent="0.25">
      <c r="A476" s="45" t="s">
        <v>284</v>
      </c>
      <c r="B476" s="44" t="s">
        <v>125</v>
      </c>
      <c r="C476" s="44" t="s">
        <v>285</v>
      </c>
      <c r="D476" s="44" t="s">
        <v>286</v>
      </c>
      <c r="E476" s="45" t="s">
        <v>287</v>
      </c>
      <c r="F476" s="44" t="s">
        <v>285</v>
      </c>
      <c r="G476" s="44" t="s">
        <v>286</v>
      </c>
      <c r="H476" s="45" t="s">
        <v>288</v>
      </c>
      <c r="I476" s="44" t="s">
        <v>285</v>
      </c>
      <c r="J476" s="44" t="s">
        <v>286</v>
      </c>
      <c r="K476" s="46"/>
      <c r="L476" s="45" t="s">
        <v>288</v>
      </c>
      <c r="M476" s="44" t="s">
        <v>285</v>
      </c>
      <c r="N476" s="44" t="s">
        <v>286</v>
      </c>
    </row>
    <row r="477" spans="1:14" x14ac:dyDescent="0.25">
      <c r="A477" s="47" t="s">
        <v>141</v>
      </c>
      <c r="B477" s="48">
        <v>22.64</v>
      </c>
      <c r="C477" s="48">
        <v>316.95999999999998</v>
      </c>
      <c r="D477" s="48">
        <v>16217.179999999998</v>
      </c>
      <c r="E477" s="47" t="s">
        <v>140</v>
      </c>
      <c r="F477" s="48">
        <v>-24</v>
      </c>
      <c r="G477" s="48">
        <v>-2659</v>
      </c>
      <c r="H477" s="47" t="s">
        <v>130</v>
      </c>
      <c r="I477" s="49">
        <v>0</v>
      </c>
      <c r="J477" s="49">
        <v>0</v>
      </c>
      <c r="L477" s="47" t="s">
        <v>146</v>
      </c>
      <c r="M477" s="48">
        <v>20.59</v>
      </c>
      <c r="N477" s="48">
        <v>1299.6099999999997</v>
      </c>
    </row>
    <row r="478" spans="1:14" x14ac:dyDescent="0.25">
      <c r="A478" s="47" t="s">
        <v>250</v>
      </c>
      <c r="B478" s="49">
        <v>0</v>
      </c>
      <c r="C478" s="49">
        <v>0</v>
      </c>
      <c r="D478" s="48">
        <v>336</v>
      </c>
      <c r="E478" s="47" t="s">
        <v>147</v>
      </c>
      <c r="F478" s="48">
        <v>-20.59</v>
      </c>
      <c r="G478" s="48">
        <v>-1299.6099999999997</v>
      </c>
      <c r="H478" s="47"/>
      <c r="I478" s="49"/>
      <c r="J478" s="49"/>
      <c r="L478" s="47" t="s">
        <v>142</v>
      </c>
      <c r="M478" s="48">
        <v>4.8099999999999996</v>
      </c>
      <c r="N478" s="48">
        <v>303.94</v>
      </c>
    </row>
    <row r="479" spans="1:14" x14ac:dyDescent="0.25">
      <c r="A479" s="47" t="s">
        <v>145</v>
      </c>
      <c r="B479" s="48">
        <v>0.72</v>
      </c>
      <c r="C479" s="48">
        <v>15.12</v>
      </c>
      <c r="D479" s="48">
        <v>3898.44</v>
      </c>
      <c r="E479" s="47" t="s">
        <v>143</v>
      </c>
      <c r="F479" s="48">
        <v>-4.8099999999999996</v>
      </c>
      <c r="G479" s="48">
        <v>-303.94</v>
      </c>
      <c r="H479" s="47"/>
      <c r="I479" s="49"/>
      <c r="J479" s="49"/>
      <c r="L479" s="47" t="s">
        <v>138</v>
      </c>
      <c r="M479" s="49">
        <v>0</v>
      </c>
      <c r="N479" s="48">
        <v>42</v>
      </c>
    </row>
    <row r="480" spans="1:14" x14ac:dyDescent="0.25">
      <c r="A480" s="47" t="s">
        <v>253</v>
      </c>
      <c r="B480" s="49">
        <v>0</v>
      </c>
      <c r="C480" s="49">
        <v>0</v>
      </c>
      <c r="D480" s="48">
        <v>509.88</v>
      </c>
      <c r="E480" s="47" t="s">
        <v>144</v>
      </c>
      <c r="F480" s="49">
        <v>0</v>
      </c>
      <c r="G480" s="49">
        <v>0</v>
      </c>
      <c r="H480" s="47"/>
      <c r="I480" s="49"/>
      <c r="J480" s="49"/>
      <c r="L480" s="47" t="s">
        <v>136</v>
      </c>
      <c r="M480" s="49">
        <v>0</v>
      </c>
      <c r="N480" s="48">
        <v>203</v>
      </c>
    </row>
    <row r="481" spans="1:14" x14ac:dyDescent="0.25">
      <c r="A481" s="47"/>
      <c r="B481" s="49"/>
      <c r="C481" s="49"/>
      <c r="D481" s="49"/>
      <c r="E481" s="47" t="s">
        <v>137</v>
      </c>
      <c r="F481" s="49">
        <v>0</v>
      </c>
      <c r="G481" s="48">
        <v>-541.8900000000001</v>
      </c>
      <c r="H481" s="47"/>
      <c r="I481" s="49"/>
      <c r="J481" s="49"/>
      <c r="L481" s="47" t="s">
        <v>135</v>
      </c>
      <c r="M481" s="49">
        <v>0</v>
      </c>
      <c r="N481" s="48">
        <v>7</v>
      </c>
    </row>
    <row r="482" spans="1:14" x14ac:dyDescent="0.25">
      <c r="A482" s="47"/>
      <c r="B482" s="49"/>
      <c r="C482" s="49"/>
      <c r="D482" s="49"/>
      <c r="E482" s="47" t="s">
        <v>133</v>
      </c>
      <c r="F482" s="48">
        <v>-2.99</v>
      </c>
      <c r="G482" s="48">
        <v>-188.65</v>
      </c>
      <c r="H482" s="47"/>
      <c r="I482" s="49"/>
      <c r="J482" s="49"/>
      <c r="L482" s="47"/>
      <c r="M482" s="49"/>
      <c r="N482" s="49"/>
    </row>
    <row r="483" spans="1:14" ht="15" customHeight="1" x14ac:dyDescent="0.25">
      <c r="A483" s="53" t="s">
        <v>289</v>
      </c>
      <c r="B483" s="51">
        <f>SUM(B476:B482)</f>
        <v>23.36</v>
      </c>
      <c r="C483" s="51">
        <f>SUM(C476:C482)</f>
        <v>332.08</v>
      </c>
      <c r="D483" s="51">
        <f>SUM(D476:D482)</f>
        <v>20961.5</v>
      </c>
      <c r="E483" s="53" t="s">
        <v>290</v>
      </c>
      <c r="F483" s="51">
        <f>SUM(F476:F482)</f>
        <v>-52.390000000000008</v>
      </c>
      <c r="G483" s="51">
        <f>SUM(G476:G482)</f>
        <v>-4993.0899999999992</v>
      </c>
      <c r="H483" s="53" t="s">
        <v>291</v>
      </c>
      <c r="I483" s="52">
        <f>SUM(I476:I482)</f>
        <v>0</v>
      </c>
      <c r="J483" s="52">
        <f>SUM(J476:J482)</f>
        <v>0</v>
      </c>
      <c r="K483" s="54"/>
      <c r="L483" s="53" t="s">
        <v>292</v>
      </c>
      <c r="M483" s="51">
        <f>SUM(M476:M482)</f>
        <v>25.4</v>
      </c>
      <c r="N483" s="51">
        <f>SUM(N476:N482)</f>
        <v>1855.5499999999997</v>
      </c>
    </row>
    <row r="484" spans="1:14" ht="19.95" customHeight="1" x14ac:dyDescent="0.25">
      <c r="H484" s="53" t="s">
        <v>293</v>
      </c>
      <c r="I484" s="51">
        <f>C483+F483+I483</f>
        <v>279.69</v>
      </c>
      <c r="J484" s="51">
        <f>D483+G483+J483</f>
        <v>15968.41</v>
      </c>
    </row>
    <row r="485" spans="1:14" ht="15" customHeight="1" x14ac:dyDescent="0.25">
      <c r="A485" s="40" t="s">
        <v>222</v>
      </c>
      <c r="B485" s="41"/>
      <c r="C485" s="41"/>
      <c r="D485" s="40" t="s">
        <v>388</v>
      </c>
      <c r="E485" s="41"/>
      <c r="F485" s="41"/>
      <c r="G485" s="41"/>
      <c r="H485" s="41"/>
      <c r="I485" s="42" t="s">
        <v>389</v>
      </c>
      <c r="J485" s="43"/>
      <c r="K485" s="39"/>
      <c r="L485" s="38"/>
      <c r="M485" s="38"/>
      <c r="N485" s="38"/>
    </row>
    <row r="486" spans="1:14" x14ac:dyDescent="0.25">
      <c r="A486" s="45" t="s">
        <v>284</v>
      </c>
      <c r="B486" s="44" t="s">
        <v>125</v>
      </c>
      <c r="C486" s="44" t="s">
        <v>285</v>
      </c>
      <c r="D486" s="44" t="s">
        <v>286</v>
      </c>
      <c r="E486" s="45" t="s">
        <v>287</v>
      </c>
      <c r="F486" s="44" t="s">
        <v>285</v>
      </c>
      <c r="G486" s="44" t="s">
        <v>286</v>
      </c>
      <c r="H486" s="45" t="s">
        <v>288</v>
      </c>
      <c r="I486" s="44" t="s">
        <v>285</v>
      </c>
      <c r="J486" s="44" t="s">
        <v>286</v>
      </c>
      <c r="K486" s="46"/>
      <c r="L486" s="45" t="s">
        <v>288</v>
      </c>
      <c r="M486" s="44" t="s">
        <v>285</v>
      </c>
      <c r="N486" s="44" t="s">
        <v>286</v>
      </c>
    </row>
    <row r="487" spans="1:14" x14ac:dyDescent="0.25">
      <c r="A487" s="47" t="s">
        <v>141</v>
      </c>
      <c r="B487" s="48">
        <v>80.739999999999995</v>
      </c>
      <c r="C487" s="48">
        <v>1130.3599999999999</v>
      </c>
      <c r="D487" s="48">
        <v>16645.679999999997</v>
      </c>
      <c r="E487" s="47" t="s">
        <v>140</v>
      </c>
      <c r="F487" s="48">
        <v>-51</v>
      </c>
      <c r="G487" s="48">
        <v>-433</v>
      </c>
      <c r="H487" s="47"/>
      <c r="I487" s="49"/>
      <c r="J487" s="49"/>
      <c r="L487" s="47" t="s">
        <v>146</v>
      </c>
      <c r="M487" s="48">
        <v>71.599999999999994</v>
      </c>
      <c r="N487" s="48">
        <v>1044.79</v>
      </c>
    </row>
    <row r="488" spans="1:14" x14ac:dyDescent="0.25">
      <c r="A488" s="47" t="s">
        <v>250</v>
      </c>
      <c r="B488" s="49">
        <v>0</v>
      </c>
      <c r="C488" s="49">
        <v>0</v>
      </c>
      <c r="D488" s="48">
        <v>112</v>
      </c>
      <c r="E488" s="47" t="s">
        <v>147</v>
      </c>
      <c r="F488" s="48">
        <v>-71.599999999999994</v>
      </c>
      <c r="G488" s="48">
        <v>-1044.79</v>
      </c>
      <c r="H488" s="47"/>
      <c r="I488" s="49"/>
      <c r="J488" s="49"/>
      <c r="L488" s="47" t="s">
        <v>142</v>
      </c>
      <c r="M488" s="48">
        <v>16.75</v>
      </c>
      <c r="N488" s="48">
        <v>244.35</v>
      </c>
    </row>
    <row r="489" spans="1:14" x14ac:dyDescent="0.25">
      <c r="A489" s="47" t="s">
        <v>145</v>
      </c>
      <c r="B489" s="48">
        <v>1.17</v>
      </c>
      <c r="C489" s="48">
        <v>24.57</v>
      </c>
      <c r="D489" s="48">
        <v>93.830000000000013</v>
      </c>
      <c r="E489" s="47" t="s">
        <v>143</v>
      </c>
      <c r="F489" s="48">
        <v>-16.75</v>
      </c>
      <c r="G489" s="48">
        <v>-244.35</v>
      </c>
      <c r="H489" s="47"/>
      <c r="I489" s="49"/>
      <c r="J489" s="49"/>
      <c r="L489" s="47" t="s">
        <v>138</v>
      </c>
      <c r="M489" s="49">
        <v>0</v>
      </c>
      <c r="N489" s="48">
        <v>41.999999999999993</v>
      </c>
    </row>
    <row r="490" spans="1:14" x14ac:dyDescent="0.25">
      <c r="A490" s="47"/>
      <c r="B490" s="49"/>
      <c r="C490" s="49"/>
      <c r="D490" s="49"/>
      <c r="E490" s="47" t="s">
        <v>144</v>
      </c>
      <c r="F490" s="49">
        <v>0</v>
      </c>
      <c r="G490" s="49">
        <v>0</v>
      </c>
      <c r="H490" s="47"/>
      <c r="I490" s="49"/>
      <c r="J490" s="49"/>
      <c r="L490" s="47" t="s">
        <v>136</v>
      </c>
      <c r="M490" s="49">
        <v>0</v>
      </c>
      <c r="N490" s="48">
        <v>203</v>
      </c>
    </row>
    <row r="491" spans="1:14" x14ac:dyDescent="0.25">
      <c r="A491" s="47"/>
      <c r="B491" s="49"/>
      <c r="C491" s="49"/>
      <c r="D491" s="49"/>
      <c r="E491" s="47" t="s">
        <v>137</v>
      </c>
      <c r="F491" s="48">
        <v>-14.97</v>
      </c>
      <c r="G491" s="48">
        <v>-108</v>
      </c>
      <c r="H491" s="47"/>
      <c r="I491" s="49"/>
      <c r="J491" s="49"/>
      <c r="L491" s="47" t="s">
        <v>135</v>
      </c>
      <c r="M491" s="49">
        <v>0</v>
      </c>
      <c r="N491" s="48">
        <v>7</v>
      </c>
    </row>
    <row r="492" spans="1:14" x14ac:dyDescent="0.25">
      <c r="A492" s="47"/>
      <c r="B492" s="49"/>
      <c r="C492" s="49"/>
      <c r="D492" s="49"/>
      <c r="E492" s="47" t="s">
        <v>133</v>
      </c>
      <c r="F492" s="48">
        <v>-10.39</v>
      </c>
      <c r="G492" s="48">
        <v>-151.66000000000003</v>
      </c>
      <c r="H492" s="47"/>
      <c r="I492" s="49"/>
      <c r="J492" s="49"/>
      <c r="L492" s="47"/>
      <c r="M492" s="49"/>
      <c r="N492" s="49"/>
    </row>
    <row r="493" spans="1:14" ht="15" customHeight="1" x14ac:dyDescent="0.25">
      <c r="A493" s="53" t="s">
        <v>289</v>
      </c>
      <c r="B493" s="51">
        <f>SUM(B486:B492)</f>
        <v>81.91</v>
      </c>
      <c r="C493" s="51">
        <f>SUM(C486:C492)</f>
        <v>1154.9299999999998</v>
      </c>
      <c r="D493" s="51">
        <f>SUM(D486:D492)</f>
        <v>16851.509999999998</v>
      </c>
      <c r="E493" s="53" t="s">
        <v>290</v>
      </c>
      <c r="F493" s="51">
        <f>SUM(F486:F492)</f>
        <v>-164.70999999999998</v>
      </c>
      <c r="G493" s="51">
        <f>SUM(G486:G492)</f>
        <v>-1981.8</v>
      </c>
      <c r="H493" s="53" t="s">
        <v>291</v>
      </c>
      <c r="I493" s="52">
        <f>SUM(I486:I492)</f>
        <v>0</v>
      </c>
      <c r="J493" s="52">
        <f>SUM(J486:J492)</f>
        <v>0</v>
      </c>
      <c r="K493" s="54"/>
      <c r="L493" s="53" t="s">
        <v>292</v>
      </c>
      <c r="M493" s="51">
        <f>SUM(M486:M492)</f>
        <v>88.35</v>
      </c>
      <c r="N493" s="51">
        <f>SUM(N486:N492)</f>
        <v>1541.1399999999999</v>
      </c>
    </row>
    <row r="494" spans="1:14" ht="19.95" customHeight="1" x14ac:dyDescent="0.25">
      <c r="H494" s="53" t="s">
        <v>293</v>
      </c>
      <c r="I494" s="51">
        <f>C493+F493+I493</f>
        <v>990.2199999999998</v>
      </c>
      <c r="J494" s="51">
        <f>D493+G493+J493</f>
        <v>14869.71</v>
      </c>
    </row>
    <row r="495" spans="1:14" ht="15" customHeight="1" x14ac:dyDescent="0.25">
      <c r="A495" s="40" t="s">
        <v>224</v>
      </c>
      <c r="B495" s="41"/>
      <c r="C495" s="41"/>
      <c r="D495" s="40" t="s">
        <v>390</v>
      </c>
      <c r="E495" s="41"/>
      <c r="F495" s="41"/>
      <c r="G495" s="41"/>
      <c r="H495" s="41"/>
      <c r="I495" s="42" t="s">
        <v>391</v>
      </c>
      <c r="J495" s="43"/>
      <c r="K495" s="39"/>
      <c r="L495" s="38"/>
      <c r="M495" s="38"/>
      <c r="N495" s="38"/>
    </row>
    <row r="496" spans="1:14" x14ac:dyDescent="0.25">
      <c r="A496" s="45" t="s">
        <v>284</v>
      </c>
      <c r="B496" s="44" t="s">
        <v>125</v>
      </c>
      <c r="C496" s="44" t="s">
        <v>285</v>
      </c>
      <c r="D496" s="44" t="s">
        <v>286</v>
      </c>
      <c r="E496" s="45" t="s">
        <v>287</v>
      </c>
      <c r="F496" s="44" t="s">
        <v>285</v>
      </c>
      <c r="G496" s="44" t="s">
        <v>286</v>
      </c>
      <c r="H496" s="45" t="s">
        <v>288</v>
      </c>
      <c r="I496" s="44" t="s">
        <v>285</v>
      </c>
      <c r="J496" s="44" t="s">
        <v>286</v>
      </c>
      <c r="K496" s="46"/>
      <c r="L496" s="45" t="s">
        <v>288</v>
      </c>
      <c r="M496" s="44" t="s">
        <v>285</v>
      </c>
      <c r="N496" s="44" t="s">
        <v>286</v>
      </c>
    </row>
    <row r="497" spans="1:14" x14ac:dyDescent="0.25">
      <c r="A497" s="47" t="s">
        <v>141</v>
      </c>
      <c r="B497" s="48">
        <v>36.96</v>
      </c>
      <c r="C497" s="48">
        <v>480.48</v>
      </c>
      <c r="D497" s="48">
        <v>8040.8700000000008</v>
      </c>
      <c r="E497" s="47" t="s">
        <v>140</v>
      </c>
      <c r="F497" s="49">
        <v>0</v>
      </c>
      <c r="G497" s="48">
        <v>-23</v>
      </c>
      <c r="H497" s="47"/>
      <c r="I497" s="49"/>
      <c r="J497" s="49"/>
      <c r="L497" s="47" t="s">
        <v>146</v>
      </c>
      <c r="M497" s="48">
        <v>29.79</v>
      </c>
      <c r="N497" s="48">
        <v>514.89999999999986</v>
      </c>
    </row>
    <row r="498" spans="1:14" x14ac:dyDescent="0.25">
      <c r="A498" s="47" t="s">
        <v>250</v>
      </c>
      <c r="B498" s="49">
        <v>0</v>
      </c>
      <c r="C498" s="49">
        <v>0</v>
      </c>
      <c r="D498" s="48">
        <v>264</v>
      </c>
      <c r="E498" s="47" t="s">
        <v>147</v>
      </c>
      <c r="F498" s="48">
        <v>-29.79</v>
      </c>
      <c r="G498" s="48">
        <v>-514.89999999999986</v>
      </c>
      <c r="H498" s="47"/>
      <c r="I498" s="49"/>
      <c r="J498" s="49"/>
      <c r="L498" s="47" t="s">
        <v>142</v>
      </c>
      <c r="M498" s="48">
        <v>6.97</v>
      </c>
      <c r="N498" s="48">
        <v>120.42000000000002</v>
      </c>
    </row>
    <row r="499" spans="1:14" x14ac:dyDescent="0.25">
      <c r="A499" s="47" t="s">
        <v>145</v>
      </c>
      <c r="B499" s="49">
        <v>0</v>
      </c>
      <c r="C499" s="49">
        <v>0</v>
      </c>
      <c r="D499" s="49">
        <v>0</v>
      </c>
      <c r="E499" s="47" t="s">
        <v>143</v>
      </c>
      <c r="F499" s="48">
        <v>-6.97</v>
      </c>
      <c r="G499" s="48">
        <v>-120.42000000000002</v>
      </c>
      <c r="H499" s="47"/>
      <c r="I499" s="49"/>
      <c r="J499" s="49"/>
      <c r="L499" s="47" t="s">
        <v>138</v>
      </c>
      <c r="M499" s="49">
        <v>0</v>
      </c>
      <c r="N499" s="48">
        <v>42.000000000000007</v>
      </c>
    </row>
    <row r="500" spans="1:14" x14ac:dyDescent="0.25">
      <c r="A500" s="47"/>
      <c r="B500" s="49"/>
      <c r="C500" s="49"/>
      <c r="D500" s="49"/>
      <c r="E500" s="47" t="s">
        <v>144</v>
      </c>
      <c r="F500" s="49">
        <v>0</v>
      </c>
      <c r="G500" s="49">
        <v>0</v>
      </c>
      <c r="H500" s="47"/>
      <c r="I500" s="49"/>
      <c r="J500" s="49"/>
      <c r="L500" s="47" t="s">
        <v>136</v>
      </c>
      <c r="M500" s="49">
        <v>0</v>
      </c>
      <c r="N500" s="48">
        <v>203.00000000000003</v>
      </c>
    </row>
    <row r="501" spans="1:14" x14ac:dyDescent="0.25">
      <c r="A501" s="47"/>
      <c r="B501" s="49"/>
      <c r="C501" s="49"/>
      <c r="D501" s="49"/>
      <c r="E501" s="47" t="s">
        <v>137</v>
      </c>
      <c r="F501" s="49">
        <v>0</v>
      </c>
      <c r="G501" s="49">
        <v>0</v>
      </c>
      <c r="H501" s="47"/>
      <c r="I501" s="49"/>
      <c r="J501" s="49"/>
      <c r="L501" s="47" t="s">
        <v>135</v>
      </c>
      <c r="M501" s="49">
        <v>0</v>
      </c>
      <c r="N501" s="48">
        <v>6.9999999999999991</v>
      </c>
    </row>
    <row r="502" spans="1:14" x14ac:dyDescent="0.25">
      <c r="A502" s="47"/>
      <c r="B502" s="49"/>
      <c r="C502" s="49"/>
      <c r="D502" s="49"/>
      <c r="E502" s="47" t="s">
        <v>133</v>
      </c>
      <c r="F502" s="48">
        <v>-4.32</v>
      </c>
      <c r="G502" s="48">
        <v>-74.740000000000009</v>
      </c>
      <c r="H502" s="47"/>
      <c r="I502" s="49"/>
      <c r="J502" s="49"/>
      <c r="L502" s="47"/>
      <c r="M502" s="49"/>
      <c r="N502" s="49"/>
    </row>
    <row r="503" spans="1:14" ht="15" customHeight="1" x14ac:dyDescent="0.25">
      <c r="A503" s="53" t="s">
        <v>289</v>
      </c>
      <c r="B503" s="51">
        <f>SUM(B496:B502)</f>
        <v>36.96</v>
      </c>
      <c r="C503" s="51">
        <f>SUM(C496:C502)</f>
        <v>480.48</v>
      </c>
      <c r="D503" s="51">
        <f>SUM(D496:D502)</f>
        <v>8304.8700000000008</v>
      </c>
      <c r="E503" s="53" t="s">
        <v>290</v>
      </c>
      <c r="F503" s="51">
        <f>SUM(F496:F502)</f>
        <v>-41.08</v>
      </c>
      <c r="G503" s="51">
        <f>SUM(G496:G502)</f>
        <v>-733.06</v>
      </c>
      <c r="H503" s="53" t="s">
        <v>291</v>
      </c>
      <c r="I503" s="52">
        <f>SUM(I496:I502)</f>
        <v>0</v>
      </c>
      <c r="J503" s="52">
        <f>SUM(J496:J502)</f>
        <v>0</v>
      </c>
      <c r="K503" s="54"/>
      <c r="L503" s="53" t="s">
        <v>292</v>
      </c>
      <c r="M503" s="51">
        <f>SUM(M496:M502)</f>
        <v>36.76</v>
      </c>
      <c r="N503" s="51">
        <f>SUM(N496:N502)</f>
        <v>887.31999999999994</v>
      </c>
    </row>
    <row r="504" spans="1:14" ht="19.95" customHeight="1" x14ac:dyDescent="0.25">
      <c r="H504" s="53" t="s">
        <v>293</v>
      </c>
      <c r="I504" s="51">
        <f>C503+F503+I503</f>
        <v>439.40000000000003</v>
      </c>
      <c r="J504" s="51">
        <f>D503+G503+J503</f>
        <v>7571.8100000000013</v>
      </c>
    </row>
    <row r="505" spans="1:14" ht="15" customHeight="1" x14ac:dyDescent="0.25">
      <c r="A505" s="40" t="s">
        <v>226</v>
      </c>
      <c r="B505" s="41"/>
      <c r="C505" s="41"/>
      <c r="D505" s="40" t="s">
        <v>392</v>
      </c>
      <c r="E505" s="41"/>
      <c r="F505" s="41"/>
      <c r="G505" s="41"/>
      <c r="H505" s="41"/>
      <c r="I505" s="42" t="s">
        <v>393</v>
      </c>
      <c r="J505" s="43"/>
      <c r="K505" s="39"/>
      <c r="L505" s="38"/>
      <c r="M505" s="38"/>
      <c r="N505" s="38"/>
    </row>
    <row r="506" spans="1:14" x14ac:dyDescent="0.25">
      <c r="A506" s="45" t="s">
        <v>284</v>
      </c>
      <c r="B506" s="44" t="s">
        <v>125</v>
      </c>
      <c r="C506" s="44" t="s">
        <v>285</v>
      </c>
      <c r="D506" s="44" t="s">
        <v>286</v>
      </c>
      <c r="E506" s="45" t="s">
        <v>287</v>
      </c>
      <c r="F506" s="44" t="s">
        <v>285</v>
      </c>
      <c r="G506" s="44" t="s">
        <v>286</v>
      </c>
      <c r="H506" s="45" t="s">
        <v>288</v>
      </c>
      <c r="I506" s="44" t="s">
        <v>285</v>
      </c>
      <c r="J506" s="44" t="s">
        <v>286</v>
      </c>
      <c r="K506" s="46"/>
      <c r="L506" s="45" t="s">
        <v>288</v>
      </c>
      <c r="M506" s="44" t="s">
        <v>285</v>
      </c>
      <c r="N506" s="44" t="s">
        <v>286</v>
      </c>
    </row>
    <row r="507" spans="1:14" x14ac:dyDescent="0.25">
      <c r="A507" s="47" t="s">
        <v>254</v>
      </c>
      <c r="B507" s="49">
        <v>0</v>
      </c>
      <c r="C507" s="49">
        <v>0</v>
      </c>
      <c r="D507" s="48">
        <v>75.010000000000005</v>
      </c>
      <c r="E507" s="47" t="s">
        <v>140</v>
      </c>
      <c r="F507" s="48">
        <v>-35</v>
      </c>
      <c r="G507" s="48">
        <v>-192</v>
      </c>
      <c r="H507" s="47"/>
      <c r="I507" s="49"/>
      <c r="J507" s="49"/>
      <c r="L507" s="47" t="s">
        <v>146</v>
      </c>
      <c r="M507" s="48">
        <v>80.81</v>
      </c>
      <c r="N507" s="48">
        <v>1160.75</v>
      </c>
    </row>
    <row r="508" spans="1:14" x14ac:dyDescent="0.25">
      <c r="A508" s="47" t="s">
        <v>141</v>
      </c>
      <c r="B508" s="48">
        <v>64.47</v>
      </c>
      <c r="C508" s="48">
        <v>999.29</v>
      </c>
      <c r="D508" s="48">
        <v>15132.89</v>
      </c>
      <c r="E508" s="47" t="s">
        <v>147</v>
      </c>
      <c r="F508" s="48">
        <v>-80.81</v>
      </c>
      <c r="G508" s="48">
        <v>-1160.75</v>
      </c>
      <c r="H508" s="47"/>
      <c r="I508" s="49"/>
      <c r="J508" s="49"/>
      <c r="L508" s="47" t="s">
        <v>142</v>
      </c>
      <c r="M508" s="48">
        <v>18.899999999999999</v>
      </c>
      <c r="N508" s="48">
        <v>271.46999999999997</v>
      </c>
    </row>
    <row r="509" spans="1:14" x14ac:dyDescent="0.25">
      <c r="A509" s="47" t="s">
        <v>145</v>
      </c>
      <c r="B509" s="48">
        <v>13.08</v>
      </c>
      <c r="C509" s="48">
        <v>304.11</v>
      </c>
      <c r="D509" s="48">
        <v>3513.8500000000008</v>
      </c>
      <c r="E509" s="47" t="s">
        <v>143</v>
      </c>
      <c r="F509" s="48">
        <v>-18.899999999999999</v>
      </c>
      <c r="G509" s="48">
        <v>-271.46999999999997</v>
      </c>
      <c r="H509" s="47"/>
      <c r="I509" s="49"/>
      <c r="J509" s="49"/>
      <c r="L509" s="47" t="s">
        <v>138</v>
      </c>
      <c r="M509" s="49">
        <v>0</v>
      </c>
      <c r="N509" s="48">
        <v>42</v>
      </c>
    </row>
    <row r="510" spans="1:14" x14ac:dyDescent="0.25">
      <c r="A510" s="47"/>
      <c r="B510" s="49"/>
      <c r="C510" s="49"/>
      <c r="D510" s="49"/>
      <c r="E510" s="47" t="s">
        <v>144</v>
      </c>
      <c r="F510" s="49">
        <v>0</v>
      </c>
      <c r="G510" s="49">
        <v>0</v>
      </c>
      <c r="H510" s="47"/>
      <c r="I510" s="49"/>
      <c r="J510" s="49"/>
      <c r="L510" s="47" t="s">
        <v>136</v>
      </c>
      <c r="M510" s="49">
        <v>0</v>
      </c>
      <c r="N510" s="48">
        <v>203</v>
      </c>
    </row>
    <row r="511" spans="1:14" x14ac:dyDescent="0.25">
      <c r="A511" s="47"/>
      <c r="B511" s="49"/>
      <c r="C511" s="49"/>
      <c r="D511" s="49"/>
      <c r="E511" s="47" t="s">
        <v>137</v>
      </c>
      <c r="F511" s="48">
        <v>-12.11</v>
      </c>
      <c r="G511" s="48">
        <v>-53.879999999999995</v>
      </c>
      <c r="H511" s="47"/>
      <c r="I511" s="49"/>
      <c r="J511" s="49"/>
      <c r="L511" s="47" t="s">
        <v>135</v>
      </c>
      <c r="M511" s="49">
        <v>0</v>
      </c>
      <c r="N511" s="48">
        <v>7</v>
      </c>
    </row>
    <row r="512" spans="1:14" x14ac:dyDescent="0.25">
      <c r="A512" s="47"/>
      <c r="B512" s="49"/>
      <c r="C512" s="49"/>
      <c r="D512" s="49"/>
      <c r="E512" s="47" t="s">
        <v>133</v>
      </c>
      <c r="F512" s="48">
        <v>-11.73</v>
      </c>
      <c r="G512" s="48">
        <v>-168.49999999999997</v>
      </c>
      <c r="H512" s="47"/>
      <c r="I512" s="49"/>
      <c r="J512" s="49"/>
      <c r="L512" s="47"/>
      <c r="M512" s="49"/>
      <c r="N512" s="49"/>
    </row>
    <row r="513" spans="1:14" ht="15" customHeight="1" x14ac:dyDescent="0.25">
      <c r="A513" s="53" t="s">
        <v>289</v>
      </c>
      <c r="B513" s="51">
        <f>SUM(B506:B512)</f>
        <v>77.55</v>
      </c>
      <c r="C513" s="51">
        <f>SUM(C506:C512)</f>
        <v>1303.4000000000001</v>
      </c>
      <c r="D513" s="51">
        <f>SUM(D506:D512)</f>
        <v>18721.75</v>
      </c>
      <c r="E513" s="53" t="s">
        <v>290</v>
      </c>
      <c r="F513" s="51">
        <f>SUM(F506:F512)</f>
        <v>-158.54999999999998</v>
      </c>
      <c r="G513" s="51">
        <f>SUM(G506:G512)</f>
        <v>-1846.6</v>
      </c>
      <c r="H513" s="53" t="s">
        <v>291</v>
      </c>
      <c r="I513" s="52">
        <f>SUM(I506:I512)</f>
        <v>0</v>
      </c>
      <c r="J513" s="52">
        <f>SUM(J506:J512)</f>
        <v>0</v>
      </c>
      <c r="K513" s="54"/>
      <c r="L513" s="53" t="s">
        <v>292</v>
      </c>
      <c r="M513" s="51">
        <f>SUM(M506:M512)</f>
        <v>99.710000000000008</v>
      </c>
      <c r="N513" s="51">
        <f>SUM(N506:N512)</f>
        <v>1684.22</v>
      </c>
    </row>
    <row r="514" spans="1:14" ht="19.95" customHeight="1" x14ac:dyDescent="0.25">
      <c r="H514" s="53" t="s">
        <v>293</v>
      </c>
      <c r="I514" s="51">
        <f>C513+F513+I513</f>
        <v>1144.8500000000001</v>
      </c>
      <c r="J514" s="51">
        <f>D513+G513+J513</f>
        <v>16875.150000000001</v>
      </c>
    </row>
    <row r="515" spans="1:14" ht="15" customHeight="1" x14ac:dyDescent="0.25">
      <c r="A515" s="40" t="s">
        <v>266</v>
      </c>
      <c r="B515" s="41"/>
      <c r="C515" s="41"/>
      <c r="D515" s="40" t="s">
        <v>394</v>
      </c>
      <c r="E515" s="41"/>
      <c r="F515" s="41"/>
      <c r="G515" s="41"/>
      <c r="H515" s="41"/>
      <c r="I515" s="42" t="s">
        <v>395</v>
      </c>
      <c r="J515" s="43"/>
      <c r="K515" s="39"/>
      <c r="L515" s="38"/>
      <c r="M515" s="38"/>
      <c r="N515" s="38"/>
    </row>
    <row r="516" spans="1:14" x14ac:dyDescent="0.25">
      <c r="A516" s="45" t="s">
        <v>284</v>
      </c>
      <c r="B516" s="44" t="s">
        <v>125</v>
      </c>
      <c r="C516" s="44" t="s">
        <v>285</v>
      </c>
      <c r="D516" s="44" t="s">
        <v>286</v>
      </c>
      <c r="E516" s="45" t="s">
        <v>287</v>
      </c>
      <c r="F516" s="44" t="s">
        <v>285</v>
      </c>
      <c r="G516" s="44" t="s">
        <v>286</v>
      </c>
      <c r="H516" s="45" t="s">
        <v>288</v>
      </c>
      <c r="I516" s="44" t="s">
        <v>285</v>
      </c>
      <c r="J516" s="44" t="s">
        <v>286</v>
      </c>
      <c r="K516" s="46"/>
      <c r="L516" s="45" t="s">
        <v>288</v>
      </c>
      <c r="M516" s="44" t="s">
        <v>285</v>
      </c>
      <c r="N516" s="44" t="s">
        <v>286</v>
      </c>
    </row>
    <row r="517" spans="1:14" x14ac:dyDescent="0.25">
      <c r="A517" s="47" t="s">
        <v>141</v>
      </c>
      <c r="B517" s="48">
        <v>78.510000000000005</v>
      </c>
      <c r="C517" s="48">
        <v>863.61</v>
      </c>
      <c r="D517" s="48">
        <v>3023.79</v>
      </c>
      <c r="E517" s="47" t="s">
        <v>140</v>
      </c>
      <c r="F517" s="48">
        <v>-2</v>
      </c>
      <c r="G517" s="48">
        <v>-2</v>
      </c>
      <c r="H517" s="47"/>
      <c r="I517" s="49"/>
      <c r="J517" s="49"/>
      <c r="L517" s="47" t="s">
        <v>146</v>
      </c>
      <c r="M517" s="48">
        <v>60.41</v>
      </c>
      <c r="N517" s="48">
        <v>206.91</v>
      </c>
    </row>
    <row r="518" spans="1:14" x14ac:dyDescent="0.25">
      <c r="A518" s="47" t="s">
        <v>145</v>
      </c>
      <c r="B518" s="48">
        <v>6.71</v>
      </c>
      <c r="C518" s="48">
        <v>110.72</v>
      </c>
      <c r="D518" s="48">
        <v>313.52</v>
      </c>
      <c r="E518" s="47" t="s">
        <v>147</v>
      </c>
      <c r="F518" s="48">
        <v>-60.41</v>
      </c>
      <c r="G518" s="48">
        <v>-206.91</v>
      </c>
      <c r="H518" s="47"/>
      <c r="I518" s="49"/>
      <c r="J518" s="49"/>
      <c r="L518" s="47" t="s">
        <v>142</v>
      </c>
      <c r="M518" s="48">
        <v>14.13</v>
      </c>
      <c r="N518" s="48">
        <v>48.39</v>
      </c>
    </row>
    <row r="519" spans="1:14" x14ac:dyDescent="0.25">
      <c r="A519" s="47"/>
      <c r="B519" s="49"/>
      <c r="C519" s="49"/>
      <c r="D519" s="49"/>
      <c r="E519" s="47" t="s">
        <v>143</v>
      </c>
      <c r="F519" s="48">
        <v>-14.13</v>
      </c>
      <c r="G519" s="48">
        <v>-48.39</v>
      </c>
      <c r="H519" s="47"/>
      <c r="I519" s="49"/>
      <c r="J519" s="49"/>
      <c r="L519" s="47" t="s">
        <v>138</v>
      </c>
      <c r="M519" s="48">
        <v>5.84</v>
      </c>
      <c r="N519" s="48">
        <v>20.02</v>
      </c>
    </row>
    <row r="520" spans="1:14" x14ac:dyDescent="0.25">
      <c r="A520" s="47"/>
      <c r="B520" s="49"/>
      <c r="C520" s="49"/>
      <c r="D520" s="49"/>
      <c r="E520" s="47" t="s">
        <v>144</v>
      </c>
      <c r="F520" s="49">
        <v>0</v>
      </c>
      <c r="G520" s="49">
        <v>0</v>
      </c>
      <c r="H520" s="47"/>
      <c r="I520" s="49"/>
      <c r="J520" s="49"/>
      <c r="L520" s="47" t="s">
        <v>136</v>
      </c>
      <c r="M520" s="48">
        <v>28.25</v>
      </c>
      <c r="N520" s="48">
        <v>96.78</v>
      </c>
    </row>
    <row r="521" spans="1:14" x14ac:dyDescent="0.25">
      <c r="A521" s="47"/>
      <c r="B521" s="49"/>
      <c r="C521" s="49"/>
      <c r="D521" s="49"/>
      <c r="E521" s="47" t="s">
        <v>137</v>
      </c>
      <c r="F521" s="49">
        <v>0</v>
      </c>
      <c r="G521" s="49">
        <v>0</v>
      </c>
      <c r="H521" s="47"/>
      <c r="I521" s="49"/>
      <c r="J521" s="49"/>
      <c r="L521" s="47" t="s">
        <v>135</v>
      </c>
      <c r="M521" s="48">
        <v>0.98</v>
      </c>
      <c r="N521" s="48">
        <v>3.34</v>
      </c>
    </row>
    <row r="522" spans="1:14" x14ac:dyDescent="0.25">
      <c r="A522" s="47"/>
      <c r="B522" s="49"/>
      <c r="C522" s="49"/>
      <c r="D522" s="49"/>
      <c r="E522" s="47" t="s">
        <v>133</v>
      </c>
      <c r="F522" s="48">
        <v>-8.77</v>
      </c>
      <c r="G522" s="48">
        <v>-30.04</v>
      </c>
      <c r="H522" s="47"/>
      <c r="I522" s="49"/>
      <c r="J522" s="49"/>
      <c r="L522" s="47"/>
      <c r="M522" s="49"/>
      <c r="N522" s="49"/>
    </row>
    <row r="523" spans="1:14" ht="15" customHeight="1" x14ac:dyDescent="0.25">
      <c r="A523" s="53" t="s">
        <v>289</v>
      </c>
      <c r="B523" s="51">
        <f>SUM(B516:B522)</f>
        <v>85.22</v>
      </c>
      <c r="C523" s="51">
        <f>SUM(C516:C522)</f>
        <v>974.33</v>
      </c>
      <c r="D523" s="51">
        <f>SUM(D516:D522)</f>
        <v>3337.31</v>
      </c>
      <c r="E523" s="53" t="s">
        <v>290</v>
      </c>
      <c r="F523" s="51">
        <f>SUM(F516:F522)</f>
        <v>-85.309999999999988</v>
      </c>
      <c r="G523" s="51">
        <f>SUM(G516:G522)</f>
        <v>-287.34000000000003</v>
      </c>
      <c r="H523" s="53" t="s">
        <v>291</v>
      </c>
      <c r="I523" s="52">
        <f>SUM(I516:I522)</f>
        <v>0</v>
      </c>
      <c r="J523" s="52">
        <f>SUM(J516:J522)</f>
        <v>0</v>
      </c>
      <c r="K523" s="54"/>
      <c r="L523" s="53" t="s">
        <v>292</v>
      </c>
      <c r="M523" s="51">
        <f>SUM(M516:M522)</f>
        <v>109.61</v>
      </c>
      <c r="N523" s="51">
        <f>SUM(N516:N522)</f>
        <v>375.44</v>
      </c>
    </row>
    <row r="524" spans="1:14" ht="19.95" customHeight="1" x14ac:dyDescent="0.25">
      <c r="H524" s="53" t="s">
        <v>293</v>
      </c>
      <c r="I524" s="51">
        <f>C523+F523+I523</f>
        <v>889.0200000000001</v>
      </c>
      <c r="J524" s="51">
        <f>D523+G523+J523</f>
        <v>3049.97</v>
      </c>
    </row>
    <row r="525" spans="1:14" ht="15" customHeight="1" x14ac:dyDescent="0.25">
      <c r="A525" s="40" t="s">
        <v>131</v>
      </c>
      <c r="B525" s="41"/>
      <c r="C525" s="41"/>
      <c r="D525" s="40" t="s">
        <v>396</v>
      </c>
      <c r="E525" s="41"/>
      <c r="F525" s="41"/>
      <c r="G525" s="41"/>
      <c r="H525" s="41"/>
      <c r="I525" s="42" t="s">
        <v>397</v>
      </c>
      <c r="J525" s="43"/>
      <c r="K525" s="39"/>
      <c r="L525" s="38"/>
      <c r="M525" s="38"/>
      <c r="N525" s="38"/>
    </row>
    <row r="526" spans="1:14" x14ac:dyDescent="0.25">
      <c r="A526" s="45" t="s">
        <v>284</v>
      </c>
      <c r="B526" s="44" t="s">
        <v>125</v>
      </c>
      <c r="C526" s="44" t="s">
        <v>285</v>
      </c>
      <c r="D526" s="44" t="s">
        <v>286</v>
      </c>
      <c r="E526" s="45" t="s">
        <v>287</v>
      </c>
      <c r="F526" s="44" t="s">
        <v>285</v>
      </c>
      <c r="G526" s="44" t="s">
        <v>286</v>
      </c>
      <c r="H526" s="45" t="s">
        <v>288</v>
      </c>
      <c r="I526" s="44" t="s">
        <v>285</v>
      </c>
      <c r="J526" s="44" t="s">
        <v>286</v>
      </c>
      <c r="K526" s="46"/>
      <c r="L526" s="45" t="s">
        <v>288</v>
      </c>
      <c r="M526" s="44" t="s">
        <v>285</v>
      </c>
      <c r="N526" s="44" t="s">
        <v>286</v>
      </c>
    </row>
    <row r="527" spans="1:14" x14ac:dyDescent="0.25">
      <c r="A527" s="47" t="s">
        <v>141</v>
      </c>
      <c r="B527" s="48">
        <v>76.45</v>
      </c>
      <c r="C527" s="48">
        <v>1376.1</v>
      </c>
      <c r="D527" s="48">
        <v>25262.100000000002</v>
      </c>
      <c r="E527" s="47" t="s">
        <v>140</v>
      </c>
      <c r="F527" s="48">
        <v>-108</v>
      </c>
      <c r="G527" s="48">
        <v>-2262</v>
      </c>
      <c r="H527" s="47" t="s">
        <v>130</v>
      </c>
      <c r="I527" s="48">
        <v>-200</v>
      </c>
      <c r="J527" s="48">
        <v>250</v>
      </c>
      <c r="L527" s="47" t="s">
        <v>146</v>
      </c>
      <c r="M527" s="48">
        <v>118.89</v>
      </c>
      <c r="N527" s="48">
        <v>2280.6999999999998</v>
      </c>
    </row>
    <row r="528" spans="1:14" x14ac:dyDescent="0.25">
      <c r="A528" s="47" t="s">
        <v>250</v>
      </c>
      <c r="B528" s="49">
        <v>0</v>
      </c>
      <c r="C528" s="49">
        <v>0</v>
      </c>
      <c r="D528" s="48">
        <v>432</v>
      </c>
      <c r="E528" s="47" t="s">
        <v>147</v>
      </c>
      <c r="F528" s="48">
        <v>-118.89</v>
      </c>
      <c r="G528" s="48">
        <v>-2280.6999999999998</v>
      </c>
      <c r="H528" s="47"/>
      <c r="I528" s="49"/>
      <c r="J528" s="49"/>
      <c r="L528" s="47" t="s">
        <v>142</v>
      </c>
      <c r="M528" s="48">
        <v>27.8</v>
      </c>
      <c r="N528" s="48">
        <v>533.38999999999987</v>
      </c>
    </row>
    <row r="529" spans="1:14" x14ac:dyDescent="0.25">
      <c r="A529" s="47" t="s">
        <v>145</v>
      </c>
      <c r="B529" s="48">
        <v>20.05</v>
      </c>
      <c r="C529" s="48">
        <v>541.35</v>
      </c>
      <c r="D529" s="48">
        <v>10741.41</v>
      </c>
      <c r="E529" s="47" t="s">
        <v>143</v>
      </c>
      <c r="F529" s="48">
        <v>-27.8</v>
      </c>
      <c r="G529" s="48">
        <v>-533.38999999999987</v>
      </c>
      <c r="H529" s="47"/>
      <c r="I529" s="49"/>
      <c r="J529" s="49"/>
      <c r="L529" s="47" t="s">
        <v>138</v>
      </c>
      <c r="M529" s="49">
        <v>0</v>
      </c>
      <c r="N529" s="48">
        <v>42</v>
      </c>
    </row>
    <row r="530" spans="1:14" x14ac:dyDescent="0.25">
      <c r="A530" s="47" t="s">
        <v>253</v>
      </c>
      <c r="B530" s="49">
        <v>0</v>
      </c>
      <c r="C530" s="49">
        <v>0</v>
      </c>
      <c r="D530" s="48">
        <v>349.92</v>
      </c>
      <c r="E530" s="47" t="s">
        <v>144</v>
      </c>
      <c r="F530" s="49">
        <v>0</v>
      </c>
      <c r="G530" s="49">
        <v>0</v>
      </c>
      <c r="H530" s="47"/>
      <c r="I530" s="49"/>
      <c r="J530" s="49"/>
      <c r="L530" s="47" t="s">
        <v>136</v>
      </c>
      <c r="M530" s="49">
        <v>0</v>
      </c>
      <c r="N530" s="48">
        <v>203</v>
      </c>
    </row>
    <row r="531" spans="1:14" x14ac:dyDescent="0.25">
      <c r="A531" s="47"/>
      <c r="B531" s="49"/>
      <c r="C531" s="49"/>
      <c r="D531" s="49"/>
      <c r="E531" s="47" t="s">
        <v>137</v>
      </c>
      <c r="F531" s="48">
        <v>-12.67</v>
      </c>
      <c r="G531" s="48">
        <v>-330.04</v>
      </c>
      <c r="H531" s="47"/>
      <c r="I531" s="49"/>
      <c r="J531" s="49"/>
      <c r="L531" s="47" t="s">
        <v>135</v>
      </c>
      <c r="M531" s="49">
        <v>0</v>
      </c>
      <c r="N531" s="48">
        <v>7</v>
      </c>
    </row>
    <row r="532" spans="1:14" x14ac:dyDescent="0.25">
      <c r="A532" s="47"/>
      <c r="B532" s="49"/>
      <c r="C532" s="49"/>
      <c r="D532" s="49"/>
      <c r="E532" s="47" t="s">
        <v>133</v>
      </c>
      <c r="F532" s="48">
        <v>-17.260000000000002</v>
      </c>
      <c r="G532" s="48">
        <v>-331.07000000000005</v>
      </c>
      <c r="H532" s="47"/>
      <c r="I532" s="49"/>
      <c r="J532" s="49"/>
      <c r="L532" s="47"/>
      <c r="M532" s="49"/>
      <c r="N532" s="49"/>
    </row>
    <row r="533" spans="1:14" ht="15" customHeight="1" x14ac:dyDescent="0.25">
      <c r="A533" s="53" t="s">
        <v>289</v>
      </c>
      <c r="B533" s="51">
        <f>SUM(B526:B532)</f>
        <v>96.5</v>
      </c>
      <c r="C533" s="51">
        <f>SUM(C526:C532)</f>
        <v>1917.4499999999998</v>
      </c>
      <c r="D533" s="51">
        <f>SUM(D526:D532)</f>
        <v>36785.43</v>
      </c>
      <c r="E533" s="53" t="s">
        <v>290</v>
      </c>
      <c r="F533" s="51">
        <f>SUM(F526:F532)</f>
        <v>-284.62</v>
      </c>
      <c r="G533" s="51">
        <f>SUM(G526:G532)</f>
        <v>-5737.2</v>
      </c>
      <c r="H533" s="53" t="s">
        <v>291</v>
      </c>
      <c r="I533" s="51">
        <f>SUM(I526:I532)</f>
        <v>-200</v>
      </c>
      <c r="J533" s="51">
        <f>SUM(J526:J532)</f>
        <v>250</v>
      </c>
      <c r="K533" s="54"/>
      <c r="L533" s="53" t="s">
        <v>292</v>
      </c>
      <c r="M533" s="51">
        <f>SUM(M526:M532)</f>
        <v>146.69</v>
      </c>
      <c r="N533" s="51">
        <f>SUM(N526:N532)</f>
        <v>3066.0899999999997</v>
      </c>
    </row>
    <row r="534" spans="1:14" ht="19.95" customHeight="1" x14ac:dyDescent="0.25">
      <c r="H534" s="53" t="s">
        <v>293</v>
      </c>
      <c r="I534" s="51">
        <f>C533+F533+I533</f>
        <v>1432.83</v>
      </c>
      <c r="J534" s="51">
        <f>D533+G533+J533</f>
        <v>31298.23</v>
      </c>
    </row>
    <row r="535" spans="1:14" ht="15" customHeight="1" x14ac:dyDescent="0.25">
      <c r="A535" s="40" t="s">
        <v>228</v>
      </c>
      <c r="B535" s="41"/>
      <c r="C535" s="41"/>
      <c r="D535" s="40" t="s">
        <v>398</v>
      </c>
      <c r="E535" s="41"/>
      <c r="F535" s="41"/>
      <c r="G535" s="41"/>
      <c r="H535" s="41"/>
      <c r="I535" s="42" t="s">
        <v>399</v>
      </c>
      <c r="J535" s="43"/>
      <c r="K535" s="39"/>
      <c r="L535" s="38"/>
      <c r="M535" s="38"/>
      <c r="N535" s="38"/>
    </row>
    <row r="536" spans="1:14" x14ac:dyDescent="0.25">
      <c r="A536" s="45" t="s">
        <v>284</v>
      </c>
      <c r="B536" s="44" t="s">
        <v>125</v>
      </c>
      <c r="C536" s="44" t="s">
        <v>285</v>
      </c>
      <c r="D536" s="44" t="s">
        <v>286</v>
      </c>
      <c r="E536" s="45" t="s">
        <v>287</v>
      </c>
      <c r="F536" s="44" t="s">
        <v>285</v>
      </c>
      <c r="G536" s="44" t="s">
        <v>286</v>
      </c>
      <c r="H536" s="45" t="s">
        <v>288</v>
      </c>
      <c r="I536" s="44" t="s">
        <v>285</v>
      </c>
      <c r="J536" s="44" t="s">
        <v>286</v>
      </c>
      <c r="K536" s="46"/>
      <c r="L536" s="45" t="s">
        <v>288</v>
      </c>
      <c r="M536" s="44" t="s">
        <v>285</v>
      </c>
      <c r="N536" s="44" t="s">
        <v>286</v>
      </c>
    </row>
    <row r="537" spans="1:14" x14ac:dyDescent="0.25">
      <c r="A537" s="47" t="s">
        <v>141</v>
      </c>
      <c r="B537" s="48">
        <v>54.42</v>
      </c>
      <c r="C537" s="48">
        <v>734.67</v>
      </c>
      <c r="D537" s="48">
        <v>13021.470000000003</v>
      </c>
      <c r="E537" s="47" t="s">
        <v>140</v>
      </c>
      <c r="F537" s="48">
        <v>-25</v>
      </c>
      <c r="G537" s="48">
        <v>-581</v>
      </c>
      <c r="H537" s="47" t="s">
        <v>130</v>
      </c>
      <c r="I537" s="49">
        <v>0</v>
      </c>
      <c r="J537" s="49">
        <v>0</v>
      </c>
      <c r="L537" s="47" t="s">
        <v>146</v>
      </c>
      <c r="M537" s="48">
        <v>45.55</v>
      </c>
      <c r="N537" s="48">
        <v>884.24000000000012</v>
      </c>
    </row>
    <row r="538" spans="1:14" x14ac:dyDescent="0.25">
      <c r="A538" s="47" t="s">
        <v>250</v>
      </c>
      <c r="B538" s="49">
        <v>0</v>
      </c>
      <c r="C538" s="49">
        <v>0</v>
      </c>
      <c r="D538" s="48">
        <v>324</v>
      </c>
      <c r="E538" s="47" t="s">
        <v>147</v>
      </c>
      <c r="F538" s="48">
        <v>-45.55</v>
      </c>
      <c r="G538" s="48">
        <v>-884.24000000000012</v>
      </c>
      <c r="H538" s="47" t="s">
        <v>199</v>
      </c>
      <c r="I538" s="49">
        <v>0</v>
      </c>
      <c r="J538" s="49">
        <v>0</v>
      </c>
      <c r="L538" s="47" t="s">
        <v>142</v>
      </c>
      <c r="M538" s="48">
        <v>10.66</v>
      </c>
      <c r="N538" s="48">
        <v>206.79999999999995</v>
      </c>
    </row>
    <row r="539" spans="1:14" x14ac:dyDescent="0.25">
      <c r="A539" s="47" t="s">
        <v>145</v>
      </c>
      <c r="B539" s="49">
        <v>0</v>
      </c>
      <c r="C539" s="49">
        <v>0</v>
      </c>
      <c r="D539" s="48">
        <v>769.50999999999988</v>
      </c>
      <c r="E539" s="47" t="s">
        <v>143</v>
      </c>
      <c r="F539" s="48">
        <v>-10.66</v>
      </c>
      <c r="G539" s="48">
        <v>-206.79999999999995</v>
      </c>
      <c r="H539" s="47"/>
      <c r="I539" s="49"/>
      <c r="J539" s="49"/>
      <c r="L539" s="47" t="s">
        <v>138</v>
      </c>
      <c r="M539" s="49">
        <v>0</v>
      </c>
      <c r="N539" s="48">
        <v>42</v>
      </c>
    </row>
    <row r="540" spans="1:14" x14ac:dyDescent="0.25">
      <c r="A540" s="47" t="s">
        <v>253</v>
      </c>
      <c r="B540" s="49">
        <v>0</v>
      </c>
      <c r="C540" s="49">
        <v>0</v>
      </c>
      <c r="D540" s="48">
        <v>146.88</v>
      </c>
      <c r="E540" s="47" t="s">
        <v>144</v>
      </c>
      <c r="F540" s="49">
        <v>0</v>
      </c>
      <c r="G540" s="49">
        <v>0</v>
      </c>
      <c r="H540" s="47"/>
      <c r="I540" s="49"/>
      <c r="J540" s="49"/>
      <c r="L540" s="47" t="s">
        <v>136</v>
      </c>
      <c r="M540" s="49">
        <v>0</v>
      </c>
      <c r="N540" s="48">
        <v>203</v>
      </c>
    </row>
    <row r="541" spans="1:14" x14ac:dyDescent="0.25">
      <c r="A541" s="47"/>
      <c r="B541" s="49"/>
      <c r="C541" s="49"/>
      <c r="D541" s="49"/>
      <c r="E541" s="47" t="s">
        <v>137</v>
      </c>
      <c r="F541" s="48">
        <v>-1.64</v>
      </c>
      <c r="G541" s="48">
        <v>-64.72</v>
      </c>
      <c r="H541" s="47"/>
      <c r="I541" s="49"/>
      <c r="J541" s="49"/>
      <c r="L541" s="47" t="s">
        <v>135</v>
      </c>
      <c r="M541" s="49">
        <v>0</v>
      </c>
      <c r="N541" s="48">
        <v>7</v>
      </c>
    </row>
    <row r="542" spans="1:14" x14ac:dyDescent="0.25">
      <c r="A542" s="47"/>
      <c r="B542" s="49"/>
      <c r="C542" s="49"/>
      <c r="D542" s="49"/>
      <c r="E542" s="47" t="s">
        <v>133</v>
      </c>
      <c r="F542" s="48">
        <v>-6.62</v>
      </c>
      <c r="G542" s="48">
        <v>-128.35999999999999</v>
      </c>
      <c r="H542" s="47"/>
      <c r="I542" s="49"/>
      <c r="J542" s="49"/>
      <c r="L542" s="47"/>
      <c r="M542" s="49"/>
      <c r="N542" s="49"/>
    </row>
    <row r="543" spans="1:14" ht="15" customHeight="1" x14ac:dyDescent="0.25">
      <c r="A543" s="53" t="s">
        <v>289</v>
      </c>
      <c r="B543" s="51">
        <f>SUM(B536:B542)</f>
        <v>54.42</v>
      </c>
      <c r="C543" s="51">
        <f>SUM(C536:C542)</f>
        <v>734.67</v>
      </c>
      <c r="D543" s="51">
        <f>SUM(D536:D542)</f>
        <v>14261.860000000002</v>
      </c>
      <c r="E543" s="53" t="s">
        <v>290</v>
      </c>
      <c r="F543" s="51">
        <f>SUM(F536:F542)</f>
        <v>-89.47</v>
      </c>
      <c r="G543" s="51">
        <f>SUM(G536:G542)</f>
        <v>-1865.1200000000001</v>
      </c>
      <c r="H543" s="53" t="s">
        <v>291</v>
      </c>
      <c r="I543" s="52">
        <f>SUM(I536:I542)</f>
        <v>0</v>
      </c>
      <c r="J543" s="52">
        <f>SUM(J536:J542)</f>
        <v>0</v>
      </c>
      <c r="K543" s="54"/>
      <c r="L543" s="53" t="s">
        <v>292</v>
      </c>
      <c r="M543" s="51">
        <f>SUM(M536:M542)</f>
        <v>56.209999999999994</v>
      </c>
      <c r="N543" s="51">
        <f>SUM(N536:N542)</f>
        <v>1343.04</v>
      </c>
    </row>
    <row r="544" spans="1:14" ht="19.95" customHeight="1" x14ac:dyDescent="0.25">
      <c r="H544" s="53" t="s">
        <v>293</v>
      </c>
      <c r="I544" s="51">
        <f>C543+F543+I543</f>
        <v>645.19999999999993</v>
      </c>
      <c r="J544" s="51">
        <f>D543+G543+J543</f>
        <v>12396.740000000002</v>
      </c>
    </row>
    <row r="545" spans="1:14" ht="15" customHeight="1" x14ac:dyDescent="0.25">
      <c r="A545" s="40" t="s">
        <v>268</v>
      </c>
      <c r="B545" s="41"/>
      <c r="C545" s="41"/>
      <c r="D545" s="40" t="s">
        <v>400</v>
      </c>
      <c r="E545" s="41"/>
      <c r="F545" s="41"/>
      <c r="G545" s="41"/>
      <c r="H545" s="41"/>
      <c r="I545" s="42" t="s">
        <v>401</v>
      </c>
      <c r="J545" s="43"/>
      <c r="K545" s="39"/>
      <c r="L545" s="38"/>
      <c r="M545" s="38"/>
      <c r="N545" s="38"/>
    </row>
    <row r="546" spans="1:14" x14ac:dyDescent="0.25">
      <c r="A546" s="45" t="s">
        <v>284</v>
      </c>
      <c r="B546" s="44" t="s">
        <v>125</v>
      </c>
      <c r="C546" s="44" t="s">
        <v>285</v>
      </c>
      <c r="D546" s="44" t="s">
        <v>286</v>
      </c>
      <c r="E546" s="45" t="s">
        <v>287</v>
      </c>
      <c r="F546" s="44" t="s">
        <v>285</v>
      </c>
      <c r="G546" s="44" t="s">
        <v>286</v>
      </c>
      <c r="H546" s="45" t="s">
        <v>288</v>
      </c>
      <c r="I546" s="44" t="s">
        <v>285</v>
      </c>
      <c r="J546" s="44" t="s">
        <v>286</v>
      </c>
      <c r="K546" s="46"/>
      <c r="L546" s="45" t="s">
        <v>288</v>
      </c>
      <c r="M546" s="44" t="s">
        <v>285</v>
      </c>
      <c r="N546" s="44" t="s">
        <v>286</v>
      </c>
    </row>
    <row r="547" spans="1:14" x14ac:dyDescent="0.25">
      <c r="A547" s="47" t="s">
        <v>141</v>
      </c>
      <c r="B547" s="48">
        <v>36.82</v>
      </c>
      <c r="C547" s="48">
        <v>405.02</v>
      </c>
      <c r="D547" s="48">
        <v>1829.63</v>
      </c>
      <c r="E547" s="47" t="s">
        <v>140</v>
      </c>
      <c r="F547" s="49">
        <v>0</v>
      </c>
      <c r="G547" s="49">
        <v>0</v>
      </c>
      <c r="H547" s="47"/>
      <c r="I547" s="49"/>
      <c r="J547" s="49"/>
      <c r="L547" s="47" t="s">
        <v>146</v>
      </c>
      <c r="M547" s="48">
        <v>25.11</v>
      </c>
      <c r="N547" s="48">
        <v>113.44</v>
      </c>
    </row>
    <row r="548" spans="1:14" x14ac:dyDescent="0.25">
      <c r="A548" s="47" t="s">
        <v>145</v>
      </c>
      <c r="B548" s="49">
        <v>0</v>
      </c>
      <c r="C548" s="49">
        <v>0</v>
      </c>
      <c r="D548" s="49">
        <v>0</v>
      </c>
      <c r="E548" s="47" t="s">
        <v>147</v>
      </c>
      <c r="F548" s="48">
        <v>-25.11</v>
      </c>
      <c r="G548" s="48">
        <v>-113.44</v>
      </c>
      <c r="H548" s="47"/>
      <c r="I548" s="49"/>
      <c r="J548" s="49"/>
      <c r="L548" s="47" t="s">
        <v>142</v>
      </c>
      <c r="M548" s="48">
        <v>5.87</v>
      </c>
      <c r="N548" s="48">
        <v>26.53</v>
      </c>
    </row>
    <row r="549" spans="1:14" x14ac:dyDescent="0.25">
      <c r="A549" s="47"/>
      <c r="B549" s="49"/>
      <c r="C549" s="49"/>
      <c r="D549" s="49"/>
      <c r="E549" s="47" t="s">
        <v>143</v>
      </c>
      <c r="F549" s="48">
        <v>-5.87</v>
      </c>
      <c r="G549" s="48">
        <v>-26.53</v>
      </c>
      <c r="H549" s="47"/>
      <c r="I549" s="49"/>
      <c r="J549" s="49"/>
      <c r="L549" s="47" t="s">
        <v>138</v>
      </c>
      <c r="M549" s="48">
        <v>2.4300000000000002</v>
      </c>
      <c r="N549" s="48">
        <v>10.979999999999999</v>
      </c>
    </row>
    <row r="550" spans="1:14" x14ac:dyDescent="0.25">
      <c r="A550" s="47"/>
      <c r="B550" s="49"/>
      <c r="C550" s="49"/>
      <c r="D550" s="49"/>
      <c r="E550" s="47" t="s">
        <v>144</v>
      </c>
      <c r="F550" s="49">
        <v>0</v>
      </c>
      <c r="G550" s="49">
        <v>0</v>
      </c>
      <c r="H550" s="47"/>
      <c r="I550" s="49"/>
      <c r="J550" s="49"/>
      <c r="L550" s="47" t="s">
        <v>136</v>
      </c>
      <c r="M550" s="48">
        <v>11.75</v>
      </c>
      <c r="N550" s="48">
        <v>53.06</v>
      </c>
    </row>
    <row r="551" spans="1:14" x14ac:dyDescent="0.25">
      <c r="A551" s="47"/>
      <c r="B551" s="49"/>
      <c r="C551" s="49"/>
      <c r="D551" s="49"/>
      <c r="E551" s="47" t="s">
        <v>137</v>
      </c>
      <c r="F551" s="49">
        <v>0</v>
      </c>
      <c r="G551" s="49">
        <v>0</v>
      </c>
      <c r="H551" s="47"/>
      <c r="I551" s="49"/>
      <c r="J551" s="49"/>
      <c r="L551" s="47" t="s">
        <v>135</v>
      </c>
      <c r="M551" s="48">
        <v>0.41</v>
      </c>
      <c r="N551" s="48">
        <v>1.8299999999999998</v>
      </c>
    </row>
    <row r="552" spans="1:14" x14ac:dyDescent="0.25">
      <c r="A552" s="47"/>
      <c r="B552" s="49"/>
      <c r="C552" s="49"/>
      <c r="D552" s="49"/>
      <c r="E552" s="47" t="s">
        <v>133</v>
      </c>
      <c r="F552" s="48">
        <v>-3.65</v>
      </c>
      <c r="G552" s="48">
        <v>-16.47</v>
      </c>
      <c r="H552" s="47"/>
      <c r="I552" s="49"/>
      <c r="J552" s="49"/>
      <c r="L552" s="47"/>
      <c r="M552" s="49"/>
      <c r="N552" s="49"/>
    </row>
    <row r="553" spans="1:14" ht="15" customHeight="1" x14ac:dyDescent="0.25">
      <c r="A553" s="53" t="s">
        <v>289</v>
      </c>
      <c r="B553" s="51">
        <f>SUM(B546:B552)</f>
        <v>36.82</v>
      </c>
      <c r="C553" s="51">
        <f>SUM(C546:C552)</f>
        <v>405.02</v>
      </c>
      <c r="D553" s="51">
        <f>SUM(D546:D552)</f>
        <v>1829.63</v>
      </c>
      <c r="E553" s="53" t="s">
        <v>290</v>
      </c>
      <c r="F553" s="51">
        <f>SUM(F546:F552)</f>
        <v>-34.630000000000003</v>
      </c>
      <c r="G553" s="51">
        <f>SUM(G546:G552)</f>
        <v>-156.44</v>
      </c>
      <c r="H553" s="53" t="s">
        <v>291</v>
      </c>
      <c r="I553" s="52">
        <f>SUM(I546:I552)</f>
        <v>0</v>
      </c>
      <c r="J553" s="52">
        <f>SUM(J546:J552)</f>
        <v>0</v>
      </c>
      <c r="K553" s="54"/>
      <c r="L553" s="53" t="s">
        <v>292</v>
      </c>
      <c r="M553" s="51">
        <f>SUM(M546:M552)</f>
        <v>45.57</v>
      </c>
      <c r="N553" s="51">
        <f>SUM(N546:N552)</f>
        <v>205.84</v>
      </c>
    </row>
    <row r="554" spans="1:14" ht="19.95" customHeight="1" x14ac:dyDescent="0.25">
      <c r="H554" s="53" t="s">
        <v>293</v>
      </c>
      <c r="I554" s="51">
        <f>C553+F553+I553</f>
        <v>370.39</v>
      </c>
      <c r="J554" s="51">
        <f>D553+G553+J553</f>
        <v>1673.19</v>
      </c>
    </row>
    <row r="555" spans="1:14" ht="15" customHeight="1" x14ac:dyDescent="0.25">
      <c r="A555" s="40" t="s">
        <v>230</v>
      </c>
      <c r="B555" s="41"/>
      <c r="C555" s="41"/>
      <c r="D555" s="40" t="s">
        <v>402</v>
      </c>
      <c r="E555" s="41"/>
      <c r="F555" s="41"/>
      <c r="G555" s="41"/>
      <c r="H555" s="41"/>
      <c r="I555" s="42" t="s">
        <v>403</v>
      </c>
      <c r="J555" s="43"/>
      <c r="K555" s="39"/>
      <c r="L555" s="38"/>
      <c r="M555" s="38"/>
      <c r="N555" s="38"/>
    </row>
    <row r="556" spans="1:14" x14ac:dyDescent="0.25">
      <c r="A556" s="45" t="s">
        <v>284</v>
      </c>
      <c r="B556" s="44" t="s">
        <v>125</v>
      </c>
      <c r="C556" s="44" t="s">
        <v>285</v>
      </c>
      <c r="D556" s="44" t="s">
        <v>286</v>
      </c>
      <c r="E556" s="45" t="s">
        <v>287</v>
      </c>
      <c r="F556" s="44" t="s">
        <v>285</v>
      </c>
      <c r="G556" s="44" t="s">
        <v>286</v>
      </c>
      <c r="H556" s="45" t="s">
        <v>288</v>
      </c>
      <c r="I556" s="44" t="s">
        <v>285</v>
      </c>
      <c r="J556" s="44" t="s">
        <v>286</v>
      </c>
      <c r="K556" s="46"/>
      <c r="L556" s="45" t="s">
        <v>288</v>
      </c>
      <c r="M556" s="44" t="s">
        <v>285</v>
      </c>
      <c r="N556" s="44" t="s">
        <v>286</v>
      </c>
    </row>
    <row r="557" spans="1:14" x14ac:dyDescent="0.25">
      <c r="A557" s="47" t="s">
        <v>141</v>
      </c>
      <c r="B557" s="48">
        <v>80</v>
      </c>
      <c r="C557" s="48">
        <v>1120</v>
      </c>
      <c r="D557" s="48">
        <v>16524.7</v>
      </c>
      <c r="E557" s="47" t="s">
        <v>140</v>
      </c>
      <c r="F557" s="48">
        <v>-147</v>
      </c>
      <c r="G557" s="48">
        <v>-1961</v>
      </c>
      <c r="H557" s="47"/>
      <c r="I557" s="49"/>
      <c r="J557" s="49"/>
      <c r="L557" s="47" t="s">
        <v>146</v>
      </c>
      <c r="M557" s="48">
        <v>83.24</v>
      </c>
      <c r="N557" s="48">
        <v>1216.1200000000001</v>
      </c>
    </row>
    <row r="558" spans="1:14" x14ac:dyDescent="0.25">
      <c r="A558" s="47" t="s">
        <v>250</v>
      </c>
      <c r="B558" s="49">
        <v>0</v>
      </c>
      <c r="C558" s="49">
        <v>0</v>
      </c>
      <c r="D558" s="48">
        <v>187.5</v>
      </c>
      <c r="E558" s="47" t="s">
        <v>147</v>
      </c>
      <c r="F558" s="48">
        <v>-83.24</v>
      </c>
      <c r="G558" s="48">
        <v>-1216.1200000000001</v>
      </c>
      <c r="H558" s="47"/>
      <c r="I558" s="49"/>
      <c r="J558" s="49"/>
      <c r="L558" s="47" t="s">
        <v>142</v>
      </c>
      <c r="M558" s="48">
        <v>19.47</v>
      </c>
      <c r="N558" s="48">
        <v>284.41999999999996</v>
      </c>
    </row>
    <row r="559" spans="1:14" x14ac:dyDescent="0.25">
      <c r="A559" s="47" t="s">
        <v>145</v>
      </c>
      <c r="B559" s="48">
        <v>10.6</v>
      </c>
      <c r="C559" s="48">
        <v>222.6</v>
      </c>
      <c r="D559" s="48">
        <v>2651.3900000000003</v>
      </c>
      <c r="E559" s="47" t="s">
        <v>143</v>
      </c>
      <c r="F559" s="48">
        <v>-19.47</v>
      </c>
      <c r="G559" s="48">
        <v>-284.41999999999996</v>
      </c>
      <c r="H559" s="47"/>
      <c r="I559" s="49"/>
      <c r="J559" s="49"/>
      <c r="L559" s="47" t="s">
        <v>138</v>
      </c>
      <c r="M559" s="49">
        <v>0</v>
      </c>
      <c r="N559" s="48">
        <v>42</v>
      </c>
    </row>
    <row r="560" spans="1:14" x14ac:dyDescent="0.25">
      <c r="A560" s="47" t="s">
        <v>253</v>
      </c>
      <c r="B560" s="49">
        <v>0</v>
      </c>
      <c r="C560" s="49">
        <v>0</v>
      </c>
      <c r="D560" s="48">
        <v>251.25</v>
      </c>
      <c r="E560" s="47" t="s">
        <v>144</v>
      </c>
      <c r="F560" s="49">
        <v>0</v>
      </c>
      <c r="G560" s="49">
        <v>0</v>
      </c>
      <c r="H560" s="47"/>
      <c r="I560" s="49"/>
      <c r="J560" s="49"/>
      <c r="L560" s="47" t="s">
        <v>136</v>
      </c>
      <c r="M560" s="49">
        <v>0</v>
      </c>
      <c r="N560" s="48">
        <v>203</v>
      </c>
    </row>
    <row r="561" spans="1:14" x14ac:dyDescent="0.25">
      <c r="A561" s="47"/>
      <c r="B561" s="49"/>
      <c r="C561" s="49"/>
      <c r="D561" s="49"/>
      <c r="E561" s="47" t="s">
        <v>137</v>
      </c>
      <c r="F561" s="48">
        <v>-28.59</v>
      </c>
      <c r="G561" s="48">
        <v>-303.18</v>
      </c>
      <c r="H561" s="47"/>
      <c r="I561" s="49"/>
      <c r="J561" s="49"/>
      <c r="L561" s="47" t="s">
        <v>135</v>
      </c>
      <c r="M561" s="49">
        <v>0</v>
      </c>
      <c r="N561" s="48">
        <v>7.0000000000000009</v>
      </c>
    </row>
    <row r="562" spans="1:14" x14ac:dyDescent="0.25">
      <c r="A562" s="47"/>
      <c r="B562" s="49"/>
      <c r="C562" s="49"/>
      <c r="D562" s="49"/>
      <c r="E562" s="47" t="s">
        <v>133</v>
      </c>
      <c r="F562" s="48">
        <v>-12.08</v>
      </c>
      <c r="G562" s="48">
        <v>-176.53</v>
      </c>
      <c r="H562" s="47"/>
      <c r="I562" s="49"/>
      <c r="J562" s="49"/>
      <c r="L562" s="47"/>
      <c r="M562" s="49"/>
      <c r="N562" s="49"/>
    </row>
    <row r="563" spans="1:14" ht="15" customHeight="1" x14ac:dyDescent="0.25">
      <c r="A563" s="53" t="s">
        <v>289</v>
      </c>
      <c r="B563" s="51">
        <f>SUM(B556:B562)</f>
        <v>90.6</v>
      </c>
      <c r="C563" s="51">
        <f>SUM(C556:C562)</f>
        <v>1342.6</v>
      </c>
      <c r="D563" s="51">
        <f>SUM(D556:D562)</f>
        <v>19614.84</v>
      </c>
      <c r="E563" s="53" t="s">
        <v>290</v>
      </c>
      <c r="F563" s="51">
        <f>SUM(F556:F562)</f>
        <v>-290.38</v>
      </c>
      <c r="G563" s="51">
        <f>SUM(G556:G562)</f>
        <v>-3941.25</v>
      </c>
      <c r="H563" s="53" t="s">
        <v>291</v>
      </c>
      <c r="I563" s="52">
        <f>SUM(I556:I562)</f>
        <v>0</v>
      </c>
      <c r="J563" s="52">
        <f>SUM(J556:J562)</f>
        <v>0</v>
      </c>
      <c r="K563" s="54"/>
      <c r="L563" s="53" t="s">
        <v>292</v>
      </c>
      <c r="M563" s="51">
        <f>SUM(M556:M562)</f>
        <v>102.71</v>
      </c>
      <c r="N563" s="51">
        <f>SUM(N556:N562)</f>
        <v>1752.54</v>
      </c>
    </row>
    <row r="564" spans="1:14" ht="19.95" customHeight="1" x14ac:dyDescent="0.25">
      <c r="H564" s="53" t="s">
        <v>293</v>
      </c>
      <c r="I564" s="51">
        <f>C563+F563+I563</f>
        <v>1052.2199999999998</v>
      </c>
      <c r="J564" s="51">
        <f>D563+G563+J563</f>
        <v>15673.59</v>
      </c>
    </row>
    <row r="565" spans="1:14" ht="15" customHeight="1" x14ac:dyDescent="0.25">
      <c r="A565" s="40" t="s">
        <v>232</v>
      </c>
      <c r="B565" s="41"/>
      <c r="C565" s="41"/>
      <c r="D565" s="40" t="s">
        <v>404</v>
      </c>
      <c r="E565" s="41"/>
      <c r="F565" s="41"/>
      <c r="G565" s="41"/>
      <c r="H565" s="41"/>
      <c r="I565" s="42" t="s">
        <v>405</v>
      </c>
      <c r="J565" s="43"/>
      <c r="K565" s="39"/>
      <c r="L565" s="38"/>
      <c r="M565" s="38"/>
      <c r="N565" s="38"/>
    </row>
    <row r="566" spans="1:14" x14ac:dyDescent="0.25">
      <c r="A566" s="45" t="s">
        <v>284</v>
      </c>
      <c r="B566" s="44" t="s">
        <v>125</v>
      </c>
      <c r="C566" s="44" t="s">
        <v>285</v>
      </c>
      <c r="D566" s="44" t="s">
        <v>286</v>
      </c>
      <c r="E566" s="45" t="s">
        <v>287</v>
      </c>
      <c r="F566" s="44" t="s">
        <v>285</v>
      </c>
      <c r="G566" s="44" t="s">
        <v>286</v>
      </c>
      <c r="H566" s="45" t="s">
        <v>288</v>
      </c>
      <c r="I566" s="44" t="s">
        <v>285</v>
      </c>
      <c r="J566" s="44" t="s">
        <v>286</v>
      </c>
      <c r="K566" s="46"/>
      <c r="L566" s="45" t="s">
        <v>288</v>
      </c>
      <c r="M566" s="44" t="s">
        <v>285</v>
      </c>
      <c r="N566" s="44" t="s">
        <v>286</v>
      </c>
    </row>
    <row r="567" spans="1:14" x14ac:dyDescent="0.25">
      <c r="A567" s="47" t="s">
        <v>141</v>
      </c>
      <c r="B567" s="48">
        <v>80</v>
      </c>
      <c r="C567" s="48">
        <v>1280</v>
      </c>
      <c r="D567" s="48">
        <v>21552.43</v>
      </c>
      <c r="E567" s="47" t="s">
        <v>140</v>
      </c>
      <c r="F567" s="48">
        <v>-117</v>
      </c>
      <c r="G567" s="48">
        <v>-2116</v>
      </c>
      <c r="H567" s="47" t="s">
        <v>130</v>
      </c>
      <c r="I567" s="48">
        <v>-50</v>
      </c>
      <c r="J567" s="48">
        <v>500</v>
      </c>
      <c r="L567" s="47" t="s">
        <v>146</v>
      </c>
      <c r="M567" s="48">
        <v>103.09</v>
      </c>
      <c r="N567" s="48">
        <v>1863.3300000000002</v>
      </c>
    </row>
    <row r="568" spans="1:14" x14ac:dyDescent="0.25">
      <c r="A568" s="47" t="s">
        <v>250</v>
      </c>
      <c r="B568" s="49">
        <v>0</v>
      </c>
      <c r="C568" s="49">
        <v>0</v>
      </c>
      <c r="D568" s="48">
        <v>240</v>
      </c>
      <c r="E568" s="47" t="s">
        <v>147</v>
      </c>
      <c r="F568" s="48">
        <v>-103.09</v>
      </c>
      <c r="G568" s="48">
        <v>-1863.3300000000002</v>
      </c>
      <c r="H568" s="47"/>
      <c r="I568" s="49"/>
      <c r="J568" s="49"/>
      <c r="L568" s="47" t="s">
        <v>142</v>
      </c>
      <c r="M568" s="48">
        <v>24.11</v>
      </c>
      <c r="N568" s="48">
        <v>435.77999999999992</v>
      </c>
    </row>
    <row r="569" spans="1:14" x14ac:dyDescent="0.25">
      <c r="A569" s="47" t="s">
        <v>255</v>
      </c>
      <c r="B569" s="49">
        <v>0</v>
      </c>
      <c r="C569" s="49">
        <v>0</v>
      </c>
      <c r="D569" s="48">
        <v>197.1</v>
      </c>
      <c r="E569" s="47" t="s">
        <v>143</v>
      </c>
      <c r="F569" s="48">
        <v>-24.11</v>
      </c>
      <c r="G569" s="48">
        <v>-435.77999999999992</v>
      </c>
      <c r="H569" s="47"/>
      <c r="I569" s="49"/>
      <c r="J569" s="49"/>
      <c r="L569" s="47" t="s">
        <v>138</v>
      </c>
      <c r="M569" s="49">
        <v>0</v>
      </c>
      <c r="N569" s="48">
        <v>42</v>
      </c>
    </row>
    <row r="570" spans="1:14" x14ac:dyDescent="0.25">
      <c r="A570" s="47" t="s">
        <v>145</v>
      </c>
      <c r="B570" s="48">
        <v>15.95</v>
      </c>
      <c r="C570" s="48">
        <v>382.8</v>
      </c>
      <c r="D570" s="48">
        <v>7901.8900000000012</v>
      </c>
      <c r="E570" s="47" t="s">
        <v>144</v>
      </c>
      <c r="F570" s="49">
        <v>0</v>
      </c>
      <c r="G570" s="49">
        <v>0</v>
      </c>
      <c r="H570" s="47"/>
      <c r="I570" s="49"/>
      <c r="J570" s="49"/>
      <c r="L570" s="47" t="s">
        <v>136</v>
      </c>
      <c r="M570" s="49">
        <v>0</v>
      </c>
      <c r="N570" s="48">
        <v>203</v>
      </c>
    </row>
    <row r="571" spans="1:14" x14ac:dyDescent="0.25">
      <c r="A571" s="47" t="s">
        <v>253</v>
      </c>
      <c r="B571" s="49">
        <v>0</v>
      </c>
      <c r="C571" s="49">
        <v>0</v>
      </c>
      <c r="D571" s="48">
        <v>162.30000000000001</v>
      </c>
      <c r="E571" s="47" t="s">
        <v>137</v>
      </c>
      <c r="F571" s="48">
        <v>-45.03</v>
      </c>
      <c r="G571" s="48">
        <v>-840.04999999999984</v>
      </c>
      <c r="H571" s="47"/>
      <c r="I571" s="49"/>
      <c r="J571" s="49"/>
      <c r="L571" s="47" t="s">
        <v>135</v>
      </c>
      <c r="M571" s="49">
        <v>0</v>
      </c>
      <c r="N571" s="48">
        <v>7</v>
      </c>
    </row>
    <row r="572" spans="1:14" x14ac:dyDescent="0.25">
      <c r="A572" s="47"/>
      <c r="B572" s="49"/>
      <c r="C572" s="49"/>
      <c r="D572" s="49"/>
      <c r="E572" s="47" t="s">
        <v>133</v>
      </c>
      <c r="F572" s="48">
        <v>-14.96</v>
      </c>
      <c r="G572" s="48">
        <v>-270.47999999999996</v>
      </c>
      <c r="H572" s="47"/>
      <c r="I572" s="49"/>
      <c r="J572" s="49"/>
      <c r="L572" s="47"/>
      <c r="M572" s="49"/>
      <c r="N572" s="49"/>
    </row>
    <row r="573" spans="1:14" ht="15" customHeight="1" x14ac:dyDescent="0.25">
      <c r="A573" s="53" t="s">
        <v>289</v>
      </c>
      <c r="B573" s="51">
        <f>SUM(B566:B572)</f>
        <v>95.95</v>
      </c>
      <c r="C573" s="51">
        <f>SUM(C566:C572)</f>
        <v>1662.8</v>
      </c>
      <c r="D573" s="51">
        <f>SUM(D566:D572)</f>
        <v>30053.719999999998</v>
      </c>
      <c r="E573" s="53" t="s">
        <v>290</v>
      </c>
      <c r="F573" s="51">
        <f>SUM(F566:F572)</f>
        <v>-304.19</v>
      </c>
      <c r="G573" s="51">
        <f>SUM(G566:G572)</f>
        <v>-5525.6399999999994</v>
      </c>
      <c r="H573" s="53" t="s">
        <v>291</v>
      </c>
      <c r="I573" s="51">
        <f>SUM(I566:I572)</f>
        <v>-50</v>
      </c>
      <c r="J573" s="51">
        <f>SUM(J566:J572)</f>
        <v>500</v>
      </c>
      <c r="K573" s="54"/>
      <c r="L573" s="53" t="s">
        <v>292</v>
      </c>
      <c r="M573" s="51">
        <f>SUM(M566:M572)</f>
        <v>127.2</v>
      </c>
      <c r="N573" s="51">
        <f>SUM(N566:N572)</f>
        <v>2551.11</v>
      </c>
    </row>
    <row r="574" spans="1:14" ht="19.95" customHeight="1" x14ac:dyDescent="0.25">
      <c r="H574" s="53" t="s">
        <v>293</v>
      </c>
      <c r="I574" s="51">
        <f>C573+F573+I573</f>
        <v>1308.6099999999999</v>
      </c>
      <c r="J574" s="51">
        <f>D573+G573+J573</f>
        <v>25028.079999999998</v>
      </c>
    </row>
    <row r="575" spans="1:14" ht="15" customHeight="1" x14ac:dyDescent="0.25">
      <c r="A575" s="40" t="s">
        <v>256</v>
      </c>
      <c r="B575" s="41"/>
      <c r="C575" s="41"/>
      <c r="D575" s="40" t="s">
        <v>406</v>
      </c>
      <c r="E575" s="41"/>
      <c r="F575" s="41"/>
      <c r="G575" s="41"/>
      <c r="H575" s="41"/>
      <c r="I575" s="42" t="s">
        <v>407</v>
      </c>
      <c r="J575" s="43"/>
      <c r="K575" s="39"/>
      <c r="L575" s="38"/>
      <c r="M575" s="38"/>
      <c r="N575" s="38"/>
    </row>
    <row r="576" spans="1:14" x14ac:dyDescent="0.25">
      <c r="A576" s="45" t="s">
        <v>284</v>
      </c>
      <c r="B576" s="44" t="s">
        <v>125</v>
      </c>
      <c r="C576" s="44" t="s">
        <v>285</v>
      </c>
      <c r="D576" s="44" t="s">
        <v>286</v>
      </c>
      <c r="E576" s="45" t="s">
        <v>287</v>
      </c>
      <c r="F576" s="44" t="s">
        <v>285</v>
      </c>
      <c r="G576" s="44" t="s">
        <v>286</v>
      </c>
      <c r="H576" s="45" t="s">
        <v>288</v>
      </c>
      <c r="I576" s="44" t="s">
        <v>285</v>
      </c>
      <c r="J576" s="44" t="s">
        <v>286</v>
      </c>
      <c r="K576" s="46"/>
      <c r="L576" s="45" t="s">
        <v>288</v>
      </c>
      <c r="M576" s="44" t="s">
        <v>285</v>
      </c>
      <c r="N576" s="44" t="s">
        <v>286</v>
      </c>
    </row>
    <row r="577" spans="1:14" x14ac:dyDescent="0.25">
      <c r="A577" s="47" t="s">
        <v>141</v>
      </c>
      <c r="B577" s="48">
        <v>69.05</v>
      </c>
      <c r="C577" s="48">
        <v>759.55</v>
      </c>
      <c r="D577" s="48">
        <v>6218.3</v>
      </c>
      <c r="E577" s="47" t="s">
        <v>140</v>
      </c>
      <c r="F577" s="48">
        <v>-43</v>
      </c>
      <c r="G577" s="48">
        <v>-389</v>
      </c>
      <c r="H577" s="47"/>
      <c r="I577" s="49"/>
      <c r="J577" s="49"/>
      <c r="L577" s="47" t="s">
        <v>146</v>
      </c>
      <c r="M577" s="48">
        <v>59.52</v>
      </c>
      <c r="N577" s="48">
        <v>484.59999999999997</v>
      </c>
    </row>
    <row r="578" spans="1:14" x14ac:dyDescent="0.25">
      <c r="A578" s="47" t="s">
        <v>145</v>
      </c>
      <c r="B578" s="48">
        <v>12.15</v>
      </c>
      <c r="C578" s="48">
        <v>200.48</v>
      </c>
      <c r="D578" s="48">
        <v>1597.87</v>
      </c>
      <c r="E578" s="47" t="s">
        <v>147</v>
      </c>
      <c r="F578" s="48">
        <v>-59.52</v>
      </c>
      <c r="G578" s="48">
        <v>-484.59999999999997</v>
      </c>
      <c r="H578" s="47"/>
      <c r="I578" s="49"/>
      <c r="J578" s="49"/>
      <c r="L578" s="47" t="s">
        <v>142</v>
      </c>
      <c r="M578" s="48">
        <v>13.92</v>
      </c>
      <c r="N578" s="48">
        <v>113.33000000000001</v>
      </c>
    </row>
    <row r="579" spans="1:14" x14ac:dyDescent="0.25">
      <c r="A579" s="47"/>
      <c r="B579" s="49"/>
      <c r="C579" s="49"/>
      <c r="D579" s="49"/>
      <c r="E579" s="47" t="s">
        <v>143</v>
      </c>
      <c r="F579" s="48">
        <v>-13.92</v>
      </c>
      <c r="G579" s="48">
        <v>-113.33000000000001</v>
      </c>
      <c r="H579" s="47"/>
      <c r="I579" s="49"/>
      <c r="J579" s="49"/>
      <c r="L579" s="47" t="s">
        <v>138</v>
      </c>
      <c r="M579" s="48">
        <v>0.86</v>
      </c>
      <c r="N579" s="48">
        <v>42</v>
      </c>
    </row>
    <row r="580" spans="1:14" x14ac:dyDescent="0.25">
      <c r="A580" s="47"/>
      <c r="B580" s="49"/>
      <c r="C580" s="49"/>
      <c r="D580" s="49"/>
      <c r="E580" s="47" t="s">
        <v>144</v>
      </c>
      <c r="F580" s="49">
        <v>0</v>
      </c>
      <c r="G580" s="49">
        <v>0</v>
      </c>
      <c r="H580" s="47"/>
      <c r="I580" s="49"/>
      <c r="J580" s="49"/>
      <c r="L580" s="47" t="s">
        <v>136</v>
      </c>
      <c r="M580" s="48">
        <v>4.17</v>
      </c>
      <c r="N580" s="48">
        <v>202.99999999999997</v>
      </c>
    </row>
    <row r="581" spans="1:14" x14ac:dyDescent="0.25">
      <c r="A581" s="47"/>
      <c r="B581" s="49"/>
      <c r="C581" s="49"/>
      <c r="D581" s="49"/>
      <c r="E581" s="47" t="s">
        <v>137</v>
      </c>
      <c r="F581" s="48">
        <v>-1.7</v>
      </c>
      <c r="G581" s="48">
        <v>-38.32</v>
      </c>
      <c r="H581" s="47"/>
      <c r="I581" s="49"/>
      <c r="J581" s="49"/>
      <c r="L581" s="47" t="s">
        <v>135</v>
      </c>
      <c r="M581" s="48">
        <v>0.14000000000000001</v>
      </c>
      <c r="N581" s="48">
        <v>7</v>
      </c>
    </row>
    <row r="582" spans="1:14" x14ac:dyDescent="0.25">
      <c r="A582" s="47"/>
      <c r="B582" s="49"/>
      <c r="C582" s="49"/>
      <c r="D582" s="49"/>
      <c r="E582" s="47" t="s">
        <v>133</v>
      </c>
      <c r="F582" s="48">
        <v>-8.64</v>
      </c>
      <c r="G582" s="48">
        <v>-70.350000000000009</v>
      </c>
      <c r="H582" s="47"/>
      <c r="I582" s="49"/>
      <c r="J582" s="49"/>
      <c r="L582" s="47"/>
      <c r="M582" s="49"/>
      <c r="N582" s="49"/>
    </row>
    <row r="583" spans="1:14" ht="15" customHeight="1" x14ac:dyDescent="0.25">
      <c r="A583" s="53" t="s">
        <v>289</v>
      </c>
      <c r="B583" s="51">
        <f>SUM(B576:B582)</f>
        <v>81.2</v>
      </c>
      <c r="C583" s="51">
        <f>SUM(C576:C582)</f>
        <v>960.03</v>
      </c>
      <c r="D583" s="51">
        <f>SUM(D576:D582)</f>
        <v>7816.17</v>
      </c>
      <c r="E583" s="53" t="s">
        <v>290</v>
      </c>
      <c r="F583" s="51">
        <f>SUM(F576:F582)</f>
        <v>-126.78000000000002</v>
      </c>
      <c r="G583" s="51">
        <f>SUM(G576:G582)</f>
        <v>-1095.5999999999999</v>
      </c>
      <c r="H583" s="53" t="s">
        <v>291</v>
      </c>
      <c r="I583" s="52">
        <f>SUM(I576:I582)</f>
        <v>0</v>
      </c>
      <c r="J583" s="52">
        <f>SUM(J576:J582)</f>
        <v>0</v>
      </c>
      <c r="K583" s="54"/>
      <c r="L583" s="53" t="s">
        <v>292</v>
      </c>
      <c r="M583" s="51">
        <f>SUM(M576:M582)</f>
        <v>78.61</v>
      </c>
      <c r="N583" s="51">
        <f>SUM(N576:N582)</f>
        <v>849.93</v>
      </c>
    </row>
    <row r="584" spans="1:14" ht="19.95" customHeight="1" x14ac:dyDescent="0.25">
      <c r="H584" s="53" t="s">
        <v>293</v>
      </c>
      <c r="I584" s="51">
        <f>C583+F583+I583</f>
        <v>833.25</v>
      </c>
      <c r="J584" s="51">
        <f>D583+G583+J583</f>
        <v>6720.57</v>
      </c>
    </row>
    <row r="585" spans="1:14" ht="15" customHeight="1" x14ac:dyDescent="0.25">
      <c r="A585" s="40" t="s">
        <v>234</v>
      </c>
      <c r="B585" s="41"/>
      <c r="C585" s="41"/>
      <c r="D585" s="40" t="s">
        <v>408</v>
      </c>
      <c r="E585" s="41"/>
      <c r="F585" s="41"/>
      <c r="G585" s="41"/>
      <c r="H585" s="41"/>
      <c r="I585" s="42" t="s">
        <v>409</v>
      </c>
      <c r="J585" s="43"/>
      <c r="K585" s="39"/>
      <c r="L585" s="38"/>
      <c r="M585" s="38"/>
      <c r="N585" s="38"/>
    </row>
    <row r="586" spans="1:14" x14ac:dyDescent="0.25">
      <c r="A586" s="45" t="s">
        <v>284</v>
      </c>
      <c r="B586" s="44" t="s">
        <v>125</v>
      </c>
      <c r="C586" s="44" t="s">
        <v>285</v>
      </c>
      <c r="D586" s="44" t="s">
        <v>286</v>
      </c>
      <c r="E586" s="45" t="s">
        <v>287</v>
      </c>
      <c r="F586" s="44" t="s">
        <v>285</v>
      </c>
      <c r="G586" s="44" t="s">
        <v>286</v>
      </c>
      <c r="H586" s="45" t="s">
        <v>288</v>
      </c>
      <c r="I586" s="44" t="s">
        <v>285</v>
      </c>
      <c r="J586" s="44" t="s">
        <v>286</v>
      </c>
      <c r="K586" s="46"/>
      <c r="L586" s="45" t="s">
        <v>288</v>
      </c>
      <c r="M586" s="44" t="s">
        <v>285</v>
      </c>
      <c r="N586" s="44" t="s">
        <v>286</v>
      </c>
    </row>
    <row r="587" spans="1:14" x14ac:dyDescent="0.25">
      <c r="A587" s="47" t="s">
        <v>141</v>
      </c>
      <c r="B587" s="48">
        <v>52.8</v>
      </c>
      <c r="C587" s="48">
        <v>660</v>
      </c>
      <c r="D587" s="48">
        <v>6945.6399999999994</v>
      </c>
      <c r="E587" s="47" t="s">
        <v>140</v>
      </c>
      <c r="F587" s="48">
        <v>-44</v>
      </c>
      <c r="G587" s="48">
        <v>-304</v>
      </c>
      <c r="H587" s="47"/>
      <c r="I587" s="49"/>
      <c r="J587" s="49"/>
      <c r="L587" s="47" t="s">
        <v>146</v>
      </c>
      <c r="M587" s="48">
        <v>40.92</v>
      </c>
      <c r="N587" s="48">
        <v>447.76000000000005</v>
      </c>
    </row>
    <row r="588" spans="1:14" x14ac:dyDescent="0.25">
      <c r="A588" s="47" t="s">
        <v>250</v>
      </c>
      <c r="B588" s="49">
        <v>0</v>
      </c>
      <c r="C588" s="49">
        <v>0</v>
      </c>
      <c r="D588" s="48">
        <v>77</v>
      </c>
      <c r="E588" s="47" t="s">
        <v>147</v>
      </c>
      <c r="F588" s="48">
        <v>-40.92</v>
      </c>
      <c r="G588" s="48">
        <v>-447.76000000000005</v>
      </c>
      <c r="H588" s="47"/>
      <c r="I588" s="49"/>
      <c r="J588" s="49"/>
      <c r="L588" s="47" t="s">
        <v>142</v>
      </c>
      <c r="M588" s="48">
        <v>9.57</v>
      </c>
      <c r="N588" s="48">
        <v>104.72</v>
      </c>
    </row>
    <row r="589" spans="1:14" x14ac:dyDescent="0.25">
      <c r="A589" s="47" t="s">
        <v>145</v>
      </c>
      <c r="B589" s="49">
        <v>0</v>
      </c>
      <c r="C589" s="49">
        <v>0</v>
      </c>
      <c r="D589" s="48">
        <v>199.21999999999997</v>
      </c>
      <c r="E589" s="47" t="s">
        <v>143</v>
      </c>
      <c r="F589" s="48">
        <v>-9.57</v>
      </c>
      <c r="G589" s="48">
        <v>-104.72</v>
      </c>
      <c r="H589" s="47"/>
      <c r="I589" s="49"/>
      <c r="J589" s="49"/>
      <c r="L589" s="47" t="s">
        <v>138</v>
      </c>
      <c r="M589" s="48">
        <v>2.63</v>
      </c>
      <c r="N589" s="48">
        <v>42</v>
      </c>
    </row>
    <row r="590" spans="1:14" x14ac:dyDescent="0.25">
      <c r="A590" s="47"/>
      <c r="B590" s="49"/>
      <c r="C590" s="49"/>
      <c r="D590" s="49"/>
      <c r="E590" s="47" t="s">
        <v>144</v>
      </c>
      <c r="F590" s="49">
        <v>0</v>
      </c>
      <c r="G590" s="49">
        <v>0</v>
      </c>
      <c r="H590" s="47"/>
      <c r="I590" s="49"/>
      <c r="J590" s="49"/>
      <c r="L590" s="47" t="s">
        <v>136</v>
      </c>
      <c r="M590" s="48">
        <v>12.71</v>
      </c>
      <c r="N590" s="48">
        <v>203.00000000000003</v>
      </c>
    </row>
    <row r="591" spans="1:14" x14ac:dyDescent="0.25">
      <c r="A591" s="47"/>
      <c r="B591" s="49"/>
      <c r="C591" s="49"/>
      <c r="D591" s="49"/>
      <c r="E591" s="47" t="s">
        <v>137</v>
      </c>
      <c r="F591" s="48">
        <v>-2.94</v>
      </c>
      <c r="G591" s="48">
        <v>-9.74</v>
      </c>
      <c r="H591" s="47"/>
      <c r="I591" s="49"/>
      <c r="J591" s="49"/>
      <c r="L591" s="47" t="s">
        <v>135</v>
      </c>
      <c r="M591" s="48">
        <v>0.44</v>
      </c>
      <c r="N591" s="48">
        <v>7</v>
      </c>
    </row>
    <row r="592" spans="1:14" x14ac:dyDescent="0.25">
      <c r="A592" s="47"/>
      <c r="B592" s="49"/>
      <c r="C592" s="49"/>
      <c r="D592" s="49"/>
      <c r="E592" s="47" t="s">
        <v>133</v>
      </c>
      <c r="F592" s="48">
        <v>-5.94</v>
      </c>
      <c r="G592" s="48">
        <v>-65</v>
      </c>
      <c r="H592" s="47"/>
      <c r="I592" s="49"/>
      <c r="J592" s="49"/>
      <c r="L592" s="47"/>
      <c r="M592" s="49"/>
      <c r="N592" s="49"/>
    </row>
    <row r="593" spans="1:14" ht="15" customHeight="1" x14ac:dyDescent="0.25">
      <c r="A593" s="53" t="s">
        <v>289</v>
      </c>
      <c r="B593" s="51">
        <f>SUM(B586:B592)</f>
        <v>52.8</v>
      </c>
      <c r="C593" s="51">
        <f>SUM(C586:C592)</f>
        <v>660</v>
      </c>
      <c r="D593" s="51">
        <f>SUM(D586:D592)</f>
        <v>7221.86</v>
      </c>
      <c r="E593" s="53" t="s">
        <v>290</v>
      </c>
      <c r="F593" s="51">
        <f>SUM(F586:F592)</f>
        <v>-103.37</v>
      </c>
      <c r="G593" s="51">
        <f>SUM(G586:G592)</f>
        <v>-931.22</v>
      </c>
      <c r="H593" s="53" t="s">
        <v>291</v>
      </c>
      <c r="I593" s="52">
        <f>SUM(I586:I592)</f>
        <v>0</v>
      </c>
      <c r="J593" s="52">
        <f>SUM(J586:J592)</f>
        <v>0</v>
      </c>
      <c r="K593" s="54"/>
      <c r="L593" s="53" t="s">
        <v>292</v>
      </c>
      <c r="M593" s="51">
        <f>SUM(M586:M592)</f>
        <v>66.27000000000001</v>
      </c>
      <c r="N593" s="51">
        <f>SUM(N586:N592)</f>
        <v>804.48</v>
      </c>
    </row>
    <row r="594" spans="1:14" ht="19.95" customHeight="1" x14ac:dyDescent="0.25">
      <c r="H594" s="53" t="s">
        <v>293</v>
      </c>
      <c r="I594" s="51">
        <f>C593+F593+I593</f>
        <v>556.63</v>
      </c>
      <c r="J594" s="51">
        <f>D593+G593+J593</f>
        <v>6290.6399999999994</v>
      </c>
    </row>
    <row r="595" spans="1:14" ht="15" customHeight="1" x14ac:dyDescent="0.25">
      <c r="A595" s="40" t="s">
        <v>236</v>
      </c>
      <c r="B595" s="41"/>
      <c r="C595" s="41"/>
      <c r="D595" s="40" t="s">
        <v>410</v>
      </c>
      <c r="E595" s="41"/>
      <c r="F595" s="41"/>
      <c r="G595" s="41"/>
      <c r="H595" s="41"/>
      <c r="I595" s="42" t="s">
        <v>411</v>
      </c>
      <c r="J595" s="43"/>
      <c r="K595" s="39"/>
      <c r="L595" s="38"/>
      <c r="M595" s="38"/>
      <c r="N595" s="38"/>
    </row>
    <row r="596" spans="1:14" x14ac:dyDescent="0.25">
      <c r="A596" s="45" t="s">
        <v>284</v>
      </c>
      <c r="B596" s="44" t="s">
        <v>125</v>
      </c>
      <c r="C596" s="44" t="s">
        <v>285</v>
      </c>
      <c r="D596" s="44" t="s">
        <v>286</v>
      </c>
      <c r="E596" s="45" t="s">
        <v>287</v>
      </c>
      <c r="F596" s="44" t="s">
        <v>285</v>
      </c>
      <c r="G596" s="44" t="s">
        <v>286</v>
      </c>
      <c r="H596" s="45" t="s">
        <v>288</v>
      </c>
      <c r="I596" s="44" t="s">
        <v>285</v>
      </c>
      <c r="J596" s="44" t="s">
        <v>286</v>
      </c>
      <c r="K596" s="46"/>
      <c r="L596" s="45" t="s">
        <v>288</v>
      </c>
      <c r="M596" s="44" t="s">
        <v>285</v>
      </c>
      <c r="N596" s="44" t="s">
        <v>286</v>
      </c>
    </row>
    <row r="597" spans="1:14" x14ac:dyDescent="0.25">
      <c r="A597" s="47" t="s">
        <v>141</v>
      </c>
      <c r="B597" s="48">
        <v>27.26</v>
      </c>
      <c r="C597" s="48">
        <v>354.38</v>
      </c>
      <c r="D597" s="48">
        <v>4934.1500000000005</v>
      </c>
      <c r="E597" s="47" t="s">
        <v>140</v>
      </c>
      <c r="F597" s="48">
        <v>-11</v>
      </c>
      <c r="G597" s="48">
        <v>-43</v>
      </c>
      <c r="H597" s="47"/>
      <c r="I597" s="49"/>
      <c r="J597" s="49"/>
      <c r="L597" s="47" t="s">
        <v>146</v>
      </c>
      <c r="M597" s="48">
        <v>21.98</v>
      </c>
      <c r="N597" s="48">
        <v>318.57000000000005</v>
      </c>
    </row>
    <row r="598" spans="1:14" x14ac:dyDescent="0.25">
      <c r="A598" s="47" t="s">
        <v>250</v>
      </c>
      <c r="B598" s="49">
        <v>0</v>
      </c>
      <c r="C598" s="49">
        <v>0</v>
      </c>
      <c r="D598" s="48">
        <v>204</v>
      </c>
      <c r="E598" s="47" t="s">
        <v>147</v>
      </c>
      <c r="F598" s="48">
        <v>-21.98</v>
      </c>
      <c r="G598" s="48">
        <v>-318.57000000000005</v>
      </c>
      <c r="H598" s="47"/>
      <c r="I598" s="49"/>
      <c r="J598" s="49"/>
      <c r="L598" s="47" t="s">
        <v>142</v>
      </c>
      <c r="M598" s="48">
        <v>5.14</v>
      </c>
      <c r="N598" s="48">
        <v>74.500000000000014</v>
      </c>
    </row>
    <row r="599" spans="1:14" x14ac:dyDescent="0.25">
      <c r="A599" s="47" t="s">
        <v>145</v>
      </c>
      <c r="B599" s="49">
        <v>0</v>
      </c>
      <c r="C599" s="49">
        <v>0</v>
      </c>
      <c r="D599" s="49">
        <v>0</v>
      </c>
      <c r="E599" s="47" t="s">
        <v>143</v>
      </c>
      <c r="F599" s="48">
        <v>-5.14</v>
      </c>
      <c r="G599" s="48">
        <v>-74.500000000000014</v>
      </c>
      <c r="H599" s="47"/>
      <c r="I599" s="49"/>
      <c r="J599" s="49"/>
      <c r="L599" s="47" t="s">
        <v>138</v>
      </c>
      <c r="M599" s="48">
        <v>2.13</v>
      </c>
      <c r="N599" s="48">
        <v>30.83</v>
      </c>
    </row>
    <row r="600" spans="1:14" x14ac:dyDescent="0.25">
      <c r="A600" s="47"/>
      <c r="B600" s="49"/>
      <c r="C600" s="49"/>
      <c r="D600" s="49"/>
      <c r="E600" s="47" t="s">
        <v>144</v>
      </c>
      <c r="F600" s="49">
        <v>0</v>
      </c>
      <c r="G600" s="49">
        <v>0</v>
      </c>
      <c r="H600" s="47"/>
      <c r="I600" s="49"/>
      <c r="J600" s="49"/>
      <c r="L600" s="47" t="s">
        <v>136</v>
      </c>
      <c r="M600" s="48">
        <v>10.28</v>
      </c>
      <c r="N600" s="48">
        <v>149.01</v>
      </c>
    </row>
    <row r="601" spans="1:14" x14ac:dyDescent="0.25">
      <c r="A601" s="47"/>
      <c r="B601" s="49"/>
      <c r="C601" s="49"/>
      <c r="D601" s="49"/>
      <c r="E601" s="47" t="s">
        <v>137</v>
      </c>
      <c r="F601" s="49">
        <v>0</v>
      </c>
      <c r="G601" s="49">
        <v>0</v>
      </c>
      <c r="H601" s="47"/>
      <c r="I601" s="49"/>
      <c r="J601" s="49"/>
      <c r="L601" s="47" t="s">
        <v>135</v>
      </c>
      <c r="M601" s="48">
        <v>0.36</v>
      </c>
      <c r="N601" s="48">
        <v>5.14</v>
      </c>
    </row>
    <row r="602" spans="1:14" x14ac:dyDescent="0.25">
      <c r="A602" s="47"/>
      <c r="B602" s="49"/>
      <c r="C602" s="49"/>
      <c r="D602" s="49"/>
      <c r="E602" s="47" t="s">
        <v>133</v>
      </c>
      <c r="F602" s="48">
        <v>-3.19</v>
      </c>
      <c r="G602" s="48">
        <v>-46.24</v>
      </c>
      <c r="H602" s="47"/>
      <c r="I602" s="49"/>
      <c r="J602" s="49"/>
      <c r="L602" s="47"/>
      <c r="M602" s="49"/>
      <c r="N602" s="49"/>
    </row>
    <row r="603" spans="1:14" ht="15" customHeight="1" x14ac:dyDescent="0.25">
      <c r="A603" s="53" t="s">
        <v>289</v>
      </c>
      <c r="B603" s="51">
        <f>SUM(B596:B602)</f>
        <v>27.26</v>
      </c>
      <c r="C603" s="51">
        <f>SUM(C596:C602)</f>
        <v>354.38</v>
      </c>
      <c r="D603" s="51">
        <f>SUM(D596:D602)</f>
        <v>5138.1500000000005</v>
      </c>
      <c r="E603" s="53" t="s">
        <v>290</v>
      </c>
      <c r="F603" s="51">
        <f>SUM(F596:F602)</f>
        <v>-41.31</v>
      </c>
      <c r="G603" s="51">
        <f>SUM(G596:G602)</f>
        <v>-482.31000000000006</v>
      </c>
      <c r="H603" s="53" t="s">
        <v>291</v>
      </c>
      <c r="I603" s="52">
        <f>SUM(I596:I602)</f>
        <v>0</v>
      </c>
      <c r="J603" s="52">
        <f>SUM(J596:J602)</f>
        <v>0</v>
      </c>
      <c r="K603" s="54"/>
      <c r="L603" s="53" t="s">
        <v>292</v>
      </c>
      <c r="M603" s="51">
        <f>SUM(M596:M602)</f>
        <v>39.89</v>
      </c>
      <c r="N603" s="51">
        <f>SUM(N596:N602)</f>
        <v>578.05000000000007</v>
      </c>
    </row>
    <row r="604" spans="1:14" ht="19.95" customHeight="1" x14ac:dyDescent="0.25">
      <c r="H604" s="53" t="s">
        <v>293</v>
      </c>
      <c r="I604" s="51">
        <f>C603+F603+I603</f>
        <v>313.07</v>
      </c>
      <c r="J604" s="51">
        <f>D603+G603+J603</f>
        <v>4655.84</v>
      </c>
    </row>
    <row r="605" spans="1:14" ht="15" customHeight="1" x14ac:dyDescent="0.25">
      <c r="A605" s="40" t="s">
        <v>238</v>
      </c>
      <c r="B605" s="41"/>
      <c r="C605" s="41"/>
      <c r="D605" s="40" t="s">
        <v>412</v>
      </c>
      <c r="E605" s="41"/>
      <c r="F605" s="41"/>
      <c r="G605" s="41"/>
      <c r="H605" s="41"/>
      <c r="I605" s="42" t="s">
        <v>413</v>
      </c>
      <c r="J605" s="43"/>
      <c r="K605" s="39"/>
      <c r="L605" s="38"/>
      <c r="M605" s="38"/>
      <c r="N605" s="38"/>
    </row>
    <row r="606" spans="1:14" x14ac:dyDescent="0.25">
      <c r="A606" s="45" t="s">
        <v>284</v>
      </c>
      <c r="B606" s="44" t="s">
        <v>125</v>
      </c>
      <c r="C606" s="44" t="s">
        <v>285</v>
      </c>
      <c r="D606" s="44" t="s">
        <v>286</v>
      </c>
      <c r="E606" s="45" t="s">
        <v>287</v>
      </c>
      <c r="F606" s="44" t="s">
        <v>285</v>
      </c>
      <c r="G606" s="44" t="s">
        <v>286</v>
      </c>
      <c r="H606" s="45" t="s">
        <v>288</v>
      </c>
      <c r="I606" s="44" t="s">
        <v>285</v>
      </c>
      <c r="J606" s="44" t="s">
        <v>286</v>
      </c>
      <c r="K606" s="46"/>
      <c r="L606" s="45" t="s">
        <v>288</v>
      </c>
      <c r="M606" s="44" t="s">
        <v>285</v>
      </c>
      <c r="N606" s="44" t="s">
        <v>286</v>
      </c>
    </row>
    <row r="607" spans="1:14" x14ac:dyDescent="0.25">
      <c r="A607" s="47" t="s">
        <v>141</v>
      </c>
      <c r="B607" s="48">
        <v>36.68</v>
      </c>
      <c r="C607" s="48">
        <v>476.84</v>
      </c>
      <c r="D607" s="48">
        <v>8360.2999999999993</v>
      </c>
      <c r="E607" s="47" t="s">
        <v>140</v>
      </c>
      <c r="F607" s="48">
        <v>-8</v>
      </c>
      <c r="G607" s="48">
        <v>-191</v>
      </c>
      <c r="H607" s="47"/>
      <c r="I607" s="49"/>
      <c r="J607" s="49"/>
      <c r="L607" s="47" t="s">
        <v>146</v>
      </c>
      <c r="M607" s="48">
        <v>29.56</v>
      </c>
      <c r="N607" s="48">
        <v>541.86999999999989</v>
      </c>
    </row>
    <row r="608" spans="1:14" x14ac:dyDescent="0.25">
      <c r="A608" s="47" t="s">
        <v>250</v>
      </c>
      <c r="B608" s="49">
        <v>0</v>
      </c>
      <c r="C608" s="49">
        <v>0</v>
      </c>
      <c r="D608" s="48">
        <v>292</v>
      </c>
      <c r="E608" s="47" t="s">
        <v>147</v>
      </c>
      <c r="F608" s="48">
        <v>-29.56</v>
      </c>
      <c r="G608" s="48">
        <v>-541.86999999999989</v>
      </c>
      <c r="H608" s="47"/>
      <c r="I608" s="49"/>
      <c r="J608" s="49"/>
      <c r="L608" s="47" t="s">
        <v>142</v>
      </c>
      <c r="M608" s="48">
        <v>6.92</v>
      </c>
      <c r="N608" s="48">
        <v>126.73</v>
      </c>
    </row>
    <row r="609" spans="1:14" x14ac:dyDescent="0.25">
      <c r="A609" s="47" t="s">
        <v>145</v>
      </c>
      <c r="B609" s="49">
        <v>0</v>
      </c>
      <c r="C609" s="49">
        <v>0</v>
      </c>
      <c r="D609" s="48">
        <v>87.58</v>
      </c>
      <c r="E609" s="47" t="s">
        <v>143</v>
      </c>
      <c r="F609" s="48">
        <v>-6.92</v>
      </c>
      <c r="G609" s="48">
        <v>-126.73</v>
      </c>
      <c r="H609" s="47"/>
      <c r="I609" s="49"/>
      <c r="J609" s="49"/>
      <c r="L609" s="47" t="s">
        <v>138</v>
      </c>
      <c r="M609" s="49">
        <v>0</v>
      </c>
      <c r="N609" s="48">
        <v>41.999999999999993</v>
      </c>
    </row>
    <row r="610" spans="1:14" x14ac:dyDescent="0.25">
      <c r="A610" s="47"/>
      <c r="B610" s="49"/>
      <c r="C610" s="49"/>
      <c r="D610" s="49"/>
      <c r="E610" s="47" t="s">
        <v>144</v>
      </c>
      <c r="F610" s="49">
        <v>0</v>
      </c>
      <c r="G610" s="49">
        <v>0</v>
      </c>
      <c r="H610" s="47"/>
      <c r="I610" s="49"/>
      <c r="J610" s="49"/>
      <c r="L610" s="47" t="s">
        <v>136</v>
      </c>
      <c r="M610" s="49">
        <v>0</v>
      </c>
      <c r="N610" s="48">
        <v>203.00000000000003</v>
      </c>
    </row>
    <row r="611" spans="1:14" x14ac:dyDescent="0.25">
      <c r="A611" s="47"/>
      <c r="B611" s="49"/>
      <c r="C611" s="49"/>
      <c r="D611" s="49"/>
      <c r="E611" s="47" t="s">
        <v>137</v>
      </c>
      <c r="F611" s="49">
        <v>0</v>
      </c>
      <c r="G611" s="48">
        <v>-0.87</v>
      </c>
      <c r="H611" s="47"/>
      <c r="I611" s="49"/>
      <c r="J611" s="49"/>
      <c r="L611" s="47" t="s">
        <v>135</v>
      </c>
      <c r="M611" s="49">
        <v>0</v>
      </c>
      <c r="N611" s="48">
        <v>7</v>
      </c>
    </row>
    <row r="612" spans="1:14" x14ac:dyDescent="0.25">
      <c r="A612" s="47"/>
      <c r="B612" s="49"/>
      <c r="C612" s="49"/>
      <c r="D612" s="49"/>
      <c r="E612" s="47" t="s">
        <v>133</v>
      </c>
      <c r="F612" s="48">
        <v>-4.29</v>
      </c>
      <c r="G612" s="48">
        <v>-78.660000000000011</v>
      </c>
      <c r="H612" s="47"/>
      <c r="I612" s="49"/>
      <c r="J612" s="49"/>
      <c r="L612" s="47"/>
      <c r="M612" s="49"/>
      <c r="N612" s="49"/>
    </row>
    <row r="613" spans="1:14" ht="15" customHeight="1" x14ac:dyDescent="0.25">
      <c r="A613" s="53" t="s">
        <v>289</v>
      </c>
      <c r="B613" s="51">
        <f>SUM(B606:B612)</f>
        <v>36.68</v>
      </c>
      <c r="C613" s="51">
        <f>SUM(C606:C612)</f>
        <v>476.84</v>
      </c>
      <c r="D613" s="51">
        <f>SUM(D606:D612)</f>
        <v>8739.8799999999992</v>
      </c>
      <c r="E613" s="53" t="s">
        <v>290</v>
      </c>
      <c r="F613" s="51">
        <f>SUM(F606:F612)</f>
        <v>-48.77</v>
      </c>
      <c r="G613" s="51">
        <f>SUM(G606:G612)</f>
        <v>-939.12999999999988</v>
      </c>
      <c r="H613" s="53" t="s">
        <v>291</v>
      </c>
      <c r="I613" s="52">
        <f>SUM(I606:I612)</f>
        <v>0</v>
      </c>
      <c r="J613" s="52">
        <f>SUM(J606:J612)</f>
        <v>0</v>
      </c>
      <c r="K613" s="54"/>
      <c r="L613" s="53" t="s">
        <v>292</v>
      </c>
      <c r="M613" s="51">
        <f>SUM(M606:M612)</f>
        <v>36.479999999999997</v>
      </c>
      <c r="N613" s="51">
        <f>SUM(N606:N612)</f>
        <v>920.59999999999991</v>
      </c>
    </row>
    <row r="614" spans="1:14" ht="19.95" customHeight="1" x14ac:dyDescent="0.25">
      <c r="H614" s="53" t="s">
        <v>293</v>
      </c>
      <c r="I614" s="51">
        <f>C613+F613+I613</f>
        <v>428.07</v>
      </c>
      <c r="J614" s="51">
        <f>D613+G613+J613</f>
        <v>7800.7499999999991</v>
      </c>
    </row>
    <row r="615" spans="1:14" ht="15.6" x14ac:dyDescent="0.3">
      <c r="A615" s="56" t="s">
        <v>414</v>
      </c>
      <c r="B615" s="57"/>
      <c r="C615" s="57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1:14" ht="15" customHeight="1" x14ac:dyDescent="0.25">
      <c r="A616" s="70" t="s">
        <v>415</v>
      </c>
      <c r="B616" s="37"/>
      <c r="C616" s="37"/>
      <c r="D616" s="58" t="s">
        <v>416</v>
      </c>
      <c r="E616" s="37"/>
      <c r="F616" s="59"/>
      <c r="G616" s="59"/>
      <c r="H616" s="59"/>
      <c r="I616" s="60"/>
      <c r="J616" s="60"/>
      <c r="K616" s="61"/>
      <c r="L616" s="59"/>
      <c r="M616" s="59"/>
      <c r="N616" s="75"/>
    </row>
    <row r="617" spans="1:14" x14ac:dyDescent="0.25">
      <c r="A617" s="71" t="s">
        <v>284</v>
      </c>
      <c r="B617" s="44" t="s">
        <v>125</v>
      </c>
      <c r="C617" s="44" t="s">
        <v>285</v>
      </c>
      <c r="D617" s="44" t="s">
        <v>286</v>
      </c>
      <c r="E617" s="45" t="s">
        <v>287</v>
      </c>
      <c r="F617" s="44" t="s">
        <v>285</v>
      </c>
      <c r="G617" s="44" t="s">
        <v>286</v>
      </c>
      <c r="H617" s="45" t="s">
        <v>288</v>
      </c>
      <c r="I617" s="44" t="s">
        <v>285</v>
      </c>
      <c r="J617" s="44" t="s">
        <v>286</v>
      </c>
      <c r="K617" s="46"/>
      <c r="L617" s="45" t="s">
        <v>288</v>
      </c>
      <c r="M617" s="44" t="s">
        <v>285</v>
      </c>
      <c r="N617" s="76" t="s">
        <v>286</v>
      </c>
    </row>
    <row r="618" spans="1:14" x14ac:dyDescent="0.25">
      <c r="A618" s="72" t="s">
        <v>254</v>
      </c>
      <c r="B618" s="63">
        <v>0</v>
      </c>
      <c r="C618" s="63">
        <v>0</v>
      </c>
      <c r="D618" s="64">
        <v>75.010000000000005</v>
      </c>
      <c r="E618" s="62" t="s">
        <v>140</v>
      </c>
      <c r="F618" s="64">
        <v>-3685</v>
      </c>
      <c r="G618" s="64">
        <v>-66326.28</v>
      </c>
      <c r="H618" s="62" t="s">
        <v>160</v>
      </c>
      <c r="I618" s="64">
        <v>-1011.54</v>
      </c>
      <c r="J618" s="64">
        <v>-18207.720000000012</v>
      </c>
      <c r="K618" s="65"/>
      <c r="L618" s="62" t="s">
        <v>146</v>
      </c>
      <c r="M618" s="64">
        <v>3426.49</v>
      </c>
      <c r="N618" s="77">
        <v>60473.879999999903</v>
      </c>
    </row>
    <row r="619" spans="1:14" x14ac:dyDescent="0.25">
      <c r="A619" s="72" t="s">
        <v>141</v>
      </c>
      <c r="B619" s="64">
        <v>3052.52</v>
      </c>
      <c r="C619" s="64">
        <v>41233.059999999983</v>
      </c>
      <c r="D619" s="64">
        <v>719125.74000000034</v>
      </c>
      <c r="E619" s="62" t="s">
        <v>147</v>
      </c>
      <c r="F619" s="64">
        <v>-3426.49</v>
      </c>
      <c r="G619" s="64">
        <v>-60473.879999999903</v>
      </c>
      <c r="H619" s="62" t="s">
        <v>130</v>
      </c>
      <c r="I619" s="64">
        <v>-800</v>
      </c>
      <c r="J619" s="64">
        <v>-15500</v>
      </c>
      <c r="K619" s="65"/>
      <c r="L619" s="62" t="s">
        <v>142</v>
      </c>
      <c r="M619" s="64">
        <v>801.38999999999987</v>
      </c>
      <c r="N619" s="77">
        <v>14143.099999999997</v>
      </c>
    </row>
    <row r="620" spans="1:14" x14ac:dyDescent="0.25">
      <c r="A620" s="72" t="s">
        <v>250</v>
      </c>
      <c r="B620" s="64">
        <v>8</v>
      </c>
      <c r="C620" s="64">
        <v>96</v>
      </c>
      <c r="D620" s="64">
        <v>7608.5</v>
      </c>
      <c r="E620" s="62" t="s">
        <v>143</v>
      </c>
      <c r="F620" s="64">
        <v>-801.38999999999987</v>
      </c>
      <c r="G620" s="64">
        <v>-14143.099999999997</v>
      </c>
      <c r="H620" s="62" t="s">
        <v>199</v>
      </c>
      <c r="I620" s="63">
        <v>0</v>
      </c>
      <c r="J620" s="64">
        <v>-415.95000000000005</v>
      </c>
      <c r="K620" s="65"/>
      <c r="L620" s="62" t="s">
        <v>138</v>
      </c>
      <c r="M620" s="64">
        <v>56.190000000000005</v>
      </c>
      <c r="N620" s="77">
        <v>2596.9100000000012</v>
      </c>
    </row>
    <row r="621" spans="1:14" x14ac:dyDescent="0.25">
      <c r="A621" s="72" t="s">
        <v>255</v>
      </c>
      <c r="B621" s="64">
        <v>61.31</v>
      </c>
      <c r="C621" s="64">
        <v>969.16000000000008</v>
      </c>
      <c r="D621" s="64">
        <v>3368.8199999999997</v>
      </c>
      <c r="E621" s="62" t="s">
        <v>144</v>
      </c>
      <c r="F621" s="63">
        <v>0</v>
      </c>
      <c r="G621" s="63">
        <v>0</v>
      </c>
      <c r="H621" s="62"/>
      <c r="I621" s="63"/>
      <c r="J621" s="63"/>
      <c r="K621" s="65"/>
      <c r="L621" s="62" t="s">
        <v>136</v>
      </c>
      <c r="M621" s="64">
        <v>271.64</v>
      </c>
      <c r="N621" s="77">
        <v>12551.769999999997</v>
      </c>
    </row>
    <row r="622" spans="1:14" x14ac:dyDescent="0.25">
      <c r="A622" s="72" t="s">
        <v>145</v>
      </c>
      <c r="B622" s="64">
        <v>305.02</v>
      </c>
      <c r="C622" s="64">
        <v>7511.8999999999987</v>
      </c>
      <c r="D622" s="64">
        <v>119147.91000000016</v>
      </c>
      <c r="E622" s="62" t="s">
        <v>137</v>
      </c>
      <c r="F622" s="64">
        <v>-881.0200000000001</v>
      </c>
      <c r="G622" s="64">
        <v>-16546.990000000023</v>
      </c>
      <c r="H622" s="62"/>
      <c r="I622" s="63"/>
      <c r="J622" s="63"/>
      <c r="K622" s="65"/>
      <c r="L622" s="62" t="s">
        <v>135</v>
      </c>
      <c r="M622" s="64">
        <v>9.3999999999999986</v>
      </c>
      <c r="N622" s="77">
        <v>432.83999999999929</v>
      </c>
    </row>
    <row r="623" spans="1:14" x14ac:dyDescent="0.25">
      <c r="A623" s="72" t="s">
        <v>182</v>
      </c>
      <c r="B623" s="64">
        <v>80</v>
      </c>
      <c r="C623" s="64">
        <v>2457.7399999999998</v>
      </c>
      <c r="D623" s="64">
        <v>68298.539999999979</v>
      </c>
      <c r="E623" s="62" t="s">
        <v>133</v>
      </c>
      <c r="F623" s="64">
        <v>-497.42</v>
      </c>
      <c r="G623" s="64">
        <v>-8778.4700000000012</v>
      </c>
      <c r="H623" s="62"/>
      <c r="I623" s="63"/>
      <c r="J623" s="63"/>
      <c r="K623" s="65"/>
      <c r="L623" s="62" t="s">
        <v>159</v>
      </c>
      <c r="M623" s="64">
        <v>140.76999999999998</v>
      </c>
      <c r="N623" s="77">
        <v>2533.8599999999997</v>
      </c>
    </row>
    <row r="624" spans="1:14" x14ac:dyDescent="0.25">
      <c r="A624" s="72" t="s">
        <v>158</v>
      </c>
      <c r="B624" s="64">
        <v>80</v>
      </c>
      <c r="C624" s="64">
        <v>3025.7200000000003</v>
      </c>
      <c r="D624" s="64">
        <v>54462.94000000001</v>
      </c>
      <c r="E624" s="62"/>
      <c r="F624" s="63"/>
      <c r="G624" s="63"/>
      <c r="H624" s="62"/>
      <c r="I624" s="63"/>
      <c r="J624" s="63"/>
      <c r="K624" s="65"/>
      <c r="L624" s="62"/>
      <c r="M624" s="63"/>
      <c r="N624" s="78"/>
    </row>
    <row r="625" spans="1:14" x14ac:dyDescent="0.25">
      <c r="A625" s="72" t="s">
        <v>253</v>
      </c>
      <c r="B625" s="64">
        <v>-2.44</v>
      </c>
      <c r="C625" s="64">
        <v>-26.84</v>
      </c>
      <c r="D625" s="64">
        <v>3297.8399999999997</v>
      </c>
      <c r="E625" s="62"/>
      <c r="F625" s="63"/>
      <c r="G625" s="63"/>
      <c r="H625" s="62"/>
      <c r="I625" s="63"/>
      <c r="J625" s="63"/>
      <c r="K625" s="65"/>
      <c r="L625" s="62"/>
      <c r="M625" s="63"/>
      <c r="N625" s="78"/>
    </row>
    <row r="626" spans="1:14" ht="15" customHeight="1" x14ac:dyDescent="0.25">
      <c r="A626" s="73" t="s">
        <v>289</v>
      </c>
      <c r="B626" s="51">
        <f>SUM(B617:B625)</f>
        <v>3584.41</v>
      </c>
      <c r="C626" s="51">
        <f>SUM(C617:C625)</f>
        <v>55266.739999999991</v>
      </c>
      <c r="D626" s="51">
        <f>SUM(D617:D625)</f>
        <v>975385.30000000051</v>
      </c>
      <c r="E626" s="53" t="s">
        <v>290</v>
      </c>
      <c r="F626" s="51">
        <f>SUM(F617:F625)</f>
        <v>-9291.32</v>
      </c>
      <c r="G626" s="51">
        <f>SUM(G617:G625)</f>
        <v>-166268.71999999991</v>
      </c>
      <c r="H626" s="53" t="s">
        <v>291</v>
      </c>
      <c r="I626" s="51">
        <f>SUM(I617:I625)</f>
        <v>-1811.54</v>
      </c>
      <c r="J626" s="51">
        <f>SUM(J617:J625)</f>
        <v>-34123.670000000013</v>
      </c>
      <c r="K626" s="54"/>
      <c r="L626" s="53" t="s">
        <v>292</v>
      </c>
      <c r="M626" s="51">
        <f>SUM(M617:M625)</f>
        <v>4705.8799999999992</v>
      </c>
      <c r="N626" s="79">
        <f>SUM(N617:N625)</f>
        <v>92732.359999999884</v>
      </c>
    </row>
    <row r="627" spans="1:14" ht="15" customHeight="1" x14ac:dyDescent="0.25">
      <c r="A627" s="74"/>
      <c r="B627" s="67"/>
      <c r="C627" s="66"/>
      <c r="D627" s="66"/>
      <c r="E627" s="66"/>
      <c r="F627" s="66"/>
      <c r="G627" s="66"/>
      <c r="H627" s="68" t="s">
        <v>293</v>
      </c>
      <c r="I627" s="69">
        <f>C626+F626+I626</f>
        <v>44163.87999999999</v>
      </c>
      <c r="J627" s="69">
        <f>D626+G626+J626</f>
        <v>774992.9100000005</v>
      </c>
      <c r="K627" s="66"/>
      <c r="L627" s="66"/>
      <c r="M627" s="66"/>
      <c r="N627" s="80"/>
    </row>
  </sheetData>
  <dataConsolidate/>
  <mergeCells count="192">
    <mergeCell ref="A605:C605"/>
    <mergeCell ref="D605:H605"/>
    <mergeCell ref="I605:J605"/>
    <mergeCell ref="A615:N615"/>
    <mergeCell ref="A616:C616"/>
    <mergeCell ref="D616:E616"/>
    <mergeCell ref="A585:C585"/>
    <mergeCell ref="D585:H585"/>
    <mergeCell ref="I585:J585"/>
    <mergeCell ref="A595:C595"/>
    <mergeCell ref="D595:H595"/>
    <mergeCell ref="I595:J595"/>
    <mergeCell ref="A565:C565"/>
    <mergeCell ref="D565:H565"/>
    <mergeCell ref="I565:J565"/>
    <mergeCell ref="A575:C575"/>
    <mergeCell ref="D575:H575"/>
    <mergeCell ref="I575:J575"/>
    <mergeCell ref="A545:C545"/>
    <mergeCell ref="D545:H545"/>
    <mergeCell ref="I545:J545"/>
    <mergeCell ref="A555:C555"/>
    <mergeCell ref="D555:H555"/>
    <mergeCell ref="I555:J555"/>
    <mergeCell ref="A525:C525"/>
    <mergeCell ref="D525:H525"/>
    <mergeCell ref="I525:J525"/>
    <mergeCell ref="A535:C535"/>
    <mergeCell ref="D535:H535"/>
    <mergeCell ref="I535:J535"/>
    <mergeCell ref="A505:C505"/>
    <mergeCell ref="D505:H505"/>
    <mergeCell ref="I505:J505"/>
    <mergeCell ref="A515:C515"/>
    <mergeCell ref="D515:H515"/>
    <mergeCell ref="I515:J515"/>
    <mergeCell ref="A485:C485"/>
    <mergeCell ref="D485:H485"/>
    <mergeCell ref="I485:J485"/>
    <mergeCell ref="A495:C495"/>
    <mergeCell ref="D495:H495"/>
    <mergeCell ref="I495:J495"/>
    <mergeCell ref="A465:C465"/>
    <mergeCell ref="D465:H465"/>
    <mergeCell ref="I465:J465"/>
    <mergeCell ref="A475:C475"/>
    <mergeCell ref="D475:H475"/>
    <mergeCell ref="I475:J475"/>
    <mergeCell ref="A445:C445"/>
    <mergeCell ref="D445:H445"/>
    <mergeCell ref="I445:J445"/>
    <mergeCell ref="A455:C455"/>
    <mergeCell ref="D455:H455"/>
    <mergeCell ref="I455:J455"/>
    <mergeCell ref="A425:C425"/>
    <mergeCell ref="D425:H425"/>
    <mergeCell ref="I425:J425"/>
    <mergeCell ref="A435:C435"/>
    <mergeCell ref="D435:H435"/>
    <mergeCell ref="I435:J435"/>
    <mergeCell ref="A405:C405"/>
    <mergeCell ref="D405:H405"/>
    <mergeCell ref="I405:J405"/>
    <mergeCell ref="A415:C415"/>
    <mergeCell ref="D415:H415"/>
    <mergeCell ref="I415:J415"/>
    <mergeCell ref="A385:C385"/>
    <mergeCell ref="D385:H385"/>
    <mergeCell ref="I385:J385"/>
    <mergeCell ref="A395:C395"/>
    <mergeCell ref="D395:H395"/>
    <mergeCell ref="I395:J395"/>
    <mergeCell ref="A365:C365"/>
    <mergeCell ref="D365:H365"/>
    <mergeCell ref="I365:J365"/>
    <mergeCell ref="A375:C375"/>
    <mergeCell ref="D375:H375"/>
    <mergeCell ref="I375:J375"/>
    <mergeCell ref="A345:C345"/>
    <mergeCell ref="D345:H345"/>
    <mergeCell ref="I345:J345"/>
    <mergeCell ref="A355:C355"/>
    <mergeCell ref="D355:H355"/>
    <mergeCell ref="I355:J355"/>
    <mergeCell ref="A325:C325"/>
    <mergeCell ref="D325:H325"/>
    <mergeCell ref="I325:J325"/>
    <mergeCell ref="A335:C335"/>
    <mergeCell ref="D335:H335"/>
    <mergeCell ref="I335:J335"/>
    <mergeCell ref="A305:C305"/>
    <mergeCell ref="D305:H305"/>
    <mergeCell ref="I305:J305"/>
    <mergeCell ref="A315:C315"/>
    <mergeCell ref="D315:H315"/>
    <mergeCell ref="I315:J315"/>
    <mergeCell ref="A285:C285"/>
    <mergeCell ref="D285:H285"/>
    <mergeCell ref="I285:J285"/>
    <mergeCell ref="A295:C295"/>
    <mergeCell ref="D295:H295"/>
    <mergeCell ref="I295:J295"/>
    <mergeCell ref="A265:C265"/>
    <mergeCell ref="D265:H265"/>
    <mergeCell ref="I265:J265"/>
    <mergeCell ref="A275:C275"/>
    <mergeCell ref="D275:H275"/>
    <mergeCell ref="I275:J275"/>
    <mergeCell ref="A245:C245"/>
    <mergeCell ref="D245:H245"/>
    <mergeCell ref="I245:J245"/>
    <mergeCell ref="A255:C255"/>
    <mergeCell ref="D255:H255"/>
    <mergeCell ref="I255:J255"/>
    <mergeCell ref="A225:C225"/>
    <mergeCell ref="D225:H225"/>
    <mergeCell ref="I225:J225"/>
    <mergeCell ref="A235:C235"/>
    <mergeCell ref="D235:H235"/>
    <mergeCell ref="I235:J235"/>
    <mergeCell ref="A205:C205"/>
    <mergeCell ref="D205:H205"/>
    <mergeCell ref="I205:J205"/>
    <mergeCell ref="A215:C215"/>
    <mergeCell ref="D215:H215"/>
    <mergeCell ref="I215:J215"/>
    <mergeCell ref="A185:C185"/>
    <mergeCell ref="D185:H185"/>
    <mergeCell ref="I185:J185"/>
    <mergeCell ref="A195:C195"/>
    <mergeCell ref="D195:H195"/>
    <mergeCell ref="I195:J195"/>
    <mergeCell ref="A165:C165"/>
    <mergeCell ref="D165:H165"/>
    <mergeCell ref="I165:J165"/>
    <mergeCell ref="A175:C175"/>
    <mergeCell ref="D175:H175"/>
    <mergeCell ref="I175:J175"/>
    <mergeCell ref="A145:C145"/>
    <mergeCell ref="D145:H145"/>
    <mergeCell ref="I145:J145"/>
    <mergeCell ref="A155:C155"/>
    <mergeCell ref="D155:H155"/>
    <mergeCell ref="I155:J155"/>
    <mergeCell ref="A125:C125"/>
    <mergeCell ref="D125:H125"/>
    <mergeCell ref="I125:J125"/>
    <mergeCell ref="A135:C135"/>
    <mergeCell ref="D135:H135"/>
    <mergeCell ref="I135:J135"/>
    <mergeCell ref="A105:C105"/>
    <mergeCell ref="D105:H105"/>
    <mergeCell ref="I105:J105"/>
    <mergeCell ref="A115:C115"/>
    <mergeCell ref="D115:H115"/>
    <mergeCell ref="I115:J115"/>
    <mergeCell ref="A85:C85"/>
    <mergeCell ref="D85:H85"/>
    <mergeCell ref="I85:J85"/>
    <mergeCell ref="A95:C95"/>
    <mergeCell ref="D95:H95"/>
    <mergeCell ref="I95:J95"/>
    <mergeCell ref="A65:C65"/>
    <mergeCell ref="D65:H65"/>
    <mergeCell ref="I65:J65"/>
    <mergeCell ref="A75:C75"/>
    <mergeCell ref="D75:H75"/>
    <mergeCell ref="I75:J75"/>
    <mergeCell ref="A45:C45"/>
    <mergeCell ref="D45:H45"/>
    <mergeCell ref="I45:J45"/>
    <mergeCell ref="A55:C55"/>
    <mergeCell ref="D55:H55"/>
    <mergeCell ref="I55:J55"/>
    <mergeCell ref="A25:C25"/>
    <mergeCell ref="D25:H25"/>
    <mergeCell ref="I25:J25"/>
    <mergeCell ref="A35:C35"/>
    <mergeCell ref="D35:H35"/>
    <mergeCell ref="I35:J35"/>
    <mergeCell ref="A5:C5"/>
    <mergeCell ref="D5:H5"/>
    <mergeCell ref="I5:J5"/>
    <mergeCell ref="A15:C15"/>
    <mergeCell ref="D15:H15"/>
    <mergeCell ref="I15:J15"/>
    <mergeCell ref="A1:D1"/>
    <mergeCell ref="A2:D2"/>
    <mergeCell ref="E2:G2"/>
    <mergeCell ref="H2:J2"/>
    <mergeCell ref="L2:N2"/>
    <mergeCell ref="A3:D3"/>
  </mergeCells>
  <phoneticPr fontId="0" type="noConversion"/>
  <pageMargins left="1" right="1" top="1.1399999999999999" bottom="0.75" header="0.5" footer="0.5"/>
  <pageSetup scale="66" fitToHeight="0" orientation="landscape" r:id="rId1"/>
  <headerFooter alignWithMargins="0">
    <oddHeader>&amp;C&amp;14S.B.C.R. INC._x000D_2618 DE LA VINA STREET | SANTA BARBARA, CA 93105_x000D_EIN: 77-0516672</oddHeader>
    <oddFooter xml:space="preserve">&amp;L&amp;14Page &amp;P of &amp;N&amp;C&amp;"Arial,Bold"&amp;18 Paycheck Detail Report&amp;R&amp;14 </oddFooter>
  </headerFooter>
  <rowBreaks count="12" manualBreakCount="12">
    <brk id="44" max="16383" man="1"/>
    <brk id="94" max="16383" man="1"/>
    <brk id="144" max="16383" man="1"/>
    <brk id="194" max="16383" man="1"/>
    <brk id="244" max="16383" man="1"/>
    <brk id="294" max="16383" man="1"/>
    <brk id="344" max="16383" man="1"/>
    <brk id="394" max="16383" man="1"/>
    <brk id="444" max="16383" man="1"/>
    <brk id="494" max="16383" man="1"/>
    <brk id="544" max="16383" man="1"/>
    <brk id="59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29"/>
  <sheetViews>
    <sheetView showGridLines="0" zoomScaleNormal="100" workbookViewId="0">
      <selection sqref="A1:D1"/>
    </sheetView>
  </sheetViews>
  <sheetFormatPr defaultRowHeight="13.2" x14ac:dyDescent="0.25"/>
  <cols>
    <col min="1" max="1" width="22.44140625" style="4" bestFit="1" customWidth="1"/>
    <col min="2" max="2" width="10" style="4" bestFit="1" customWidth="1"/>
    <col min="3" max="3" width="8.109375" style="4" bestFit="1" customWidth="1"/>
    <col min="4" max="4" width="28.5546875" style="4" bestFit="1" customWidth="1"/>
    <col min="5" max="5" width="6.5546875" style="4" bestFit="1" customWidth="1"/>
    <col min="6" max="6" width="4.6640625" style="4" bestFit="1" customWidth="1"/>
    <col min="7" max="7" width="16.109375" style="4" bestFit="1" customWidth="1"/>
    <col min="8" max="8" width="4" style="4" bestFit="1" customWidth="1"/>
    <col min="9" max="9" width="4.6640625" style="4" bestFit="1" customWidth="1"/>
    <col min="10" max="10" width="8.109375" style="4" bestFit="1" customWidth="1"/>
    <col min="11" max="11" width="4.6640625" style="4" bestFit="1" customWidth="1"/>
  </cols>
  <sheetData>
    <row r="1" spans="1:11" x14ac:dyDescent="0.25">
      <c r="A1"/>
      <c r="B1"/>
      <c r="C1"/>
      <c r="D1"/>
      <c r="E1"/>
      <c r="F1"/>
      <c r="G1"/>
      <c r="H1"/>
      <c r="I1"/>
      <c r="J1"/>
      <c r="K1"/>
    </row>
    <row r="2" spans="1:11" x14ac:dyDescent="0.25">
      <c r="A2"/>
      <c r="B2"/>
      <c r="C2"/>
      <c r="D2"/>
      <c r="E2"/>
      <c r="F2"/>
      <c r="G2"/>
      <c r="H2"/>
      <c r="I2"/>
      <c r="J2"/>
      <c r="K2"/>
    </row>
    <row r="3" spans="1:11" x14ac:dyDescent="0.25">
      <c r="A3"/>
      <c r="B3"/>
      <c r="C3"/>
      <c r="D3"/>
      <c r="E3"/>
      <c r="F3"/>
      <c r="G3"/>
      <c r="H3"/>
      <c r="I3"/>
      <c r="J3"/>
      <c r="K3"/>
    </row>
    <row r="4" spans="1:11" x14ac:dyDescent="0.25">
      <c r="A4"/>
      <c r="B4"/>
      <c r="C4"/>
      <c r="D4"/>
      <c r="E4"/>
      <c r="F4"/>
      <c r="G4"/>
      <c r="H4"/>
      <c r="I4"/>
      <c r="J4"/>
      <c r="K4"/>
    </row>
    <row r="5" spans="1:11" x14ac:dyDescent="0.25">
      <c r="A5"/>
      <c r="B5"/>
      <c r="C5"/>
      <c r="D5"/>
      <c r="E5"/>
      <c r="F5"/>
      <c r="G5"/>
      <c r="H5"/>
      <c r="I5"/>
      <c r="J5"/>
      <c r="K5"/>
    </row>
    <row r="6" spans="1:11" x14ac:dyDescent="0.25">
      <c r="A6"/>
      <c r="B6"/>
      <c r="C6"/>
      <c r="D6"/>
      <c r="E6"/>
      <c r="F6"/>
      <c r="G6"/>
      <c r="H6"/>
      <c r="I6"/>
      <c r="J6"/>
      <c r="K6"/>
    </row>
    <row r="7" spans="1:11" x14ac:dyDescent="0.25">
      <c r="A7"/>
      <c r="B7"/>
      <c r="C7"/>
      <c r="D7"/>
      <c r="E7"/>
      <c r="F7"/>
      <c r="G7"/>
      <c r="H7"/>
      <c r="I7"/>
      <c r="J7"/>
      <c r="K7"/>
    </row>
    <row r="8" spans="1:11" x14ac:dyDescent="0.25">
      <c r="A8"/>
      <c r="B8"/>
      <c r="C8"/>
      <c r="D8"/>
      <c r="E8"/>
      <c r="F8"/>
      <c r="G8"/>
      <c r="H8"/>
      <c r="I8"/>
      <c r="J8"/>
      <c r="K8"/>
    </row>
    <row r="9" spans="1:11" x14ac:dyDescent="0.25">
      <c r="A9"/>
      <c r="B9"/>
      <c r="C9"/>
      <c r="D9"/>
      <c r="E9"/>
      <c r="F9"/>
      <c r="G9"/>
      <c r="H9"/>
      <c r="I9"/>
      <c r="J9"/>
      <c r="K9"/>
    </row>
    <row r="10" spans="1:11" x14ac:dyDescent="0.25">
      <c r="A10"/>
      <c r="B10"/>
      <c r="C10"/>
      <c r="D10"/>
      <c r="E10"/>
      <c r="F10"/>
      <c r="G10"/>
      <c r="H10"/>
      <c r="I10"/>
      <c r="J10"/>
      <c r="K10"/>
    </row>
    <row r="11" spans="1:11" x14ac:dyDescent="0.25">
      <c r="A11"/>
      <c r="B11"/>
      <c r="C11"/>
      <c r="D11"/>
      <c r="E11"/>
      <c r="F11"/>
      <c r="G11"/>
      <c r="H11"/>
      <c r="I11"/>
      <c r="J11"/>
      <c r="K11"/>
    </row>
    <row r="12" spans="1:11" x14ac:dyDescent="0.25">
      <c r="A12"/>
      <c r="B12"/>
      <c r="C12"/>
      <c r="D12"/>
      <c r="E12"/>
      <c r="F12"/>
      <c r="G12"/>
      <c r="H12"/>
      <c r="I12"/>
      <c r="J12"/>
      <c r="K12"/>
    </row>
    <row r="13" spans="1:11" x14ac:dyDescent="0.25">
      <c r="A13"/>
      <c r="B13"/>
      <c r="C13"/>
      <c r="D13"/>
      <c r="E13"/>
      <c r="F13"/>
      <c r="G13"/>
      <c r="H13"/>
      <c r="I13"/>
      <c r="J13"/>
      <c r="K13"/>
    </row>
    <row r="14" spans="1:11" x14ac:dyDescent="0.25">
      <c r="A14"/>
      <c r="B14"/>
      <c r="C14"/>
      <c r="D14"/>
      <c r="E14"/>
      <c r="F14"/>
      <c r="G14"/>
      <c r="H14"/>
      <c r="I14"/>
      <c r="J14"/>
      <c r="K14"/>
    </row>
    <row r="15" spans="1:11" x14ac:dyDescent="0.25">
      <c r="A15"/>
      <c r="B15"/>
      <c r="C15"/>
      <c r="D15"/>
      <c r="E15"/>
      <c r="F15"/>
      <c r="G15"/>
      <c r="H15"/>
      <c r="I15"/>
      <c r="J15"/>
      <c r="K15"/>
    </row>
    <row r="16" spans="1:11" x14ac:dyDescent="0.25">
      <c r="A16"/>
      <c r="B16"/>
      <c r="C16"/>
      <c r="D16"/>
      <c r="E16"/>
      <c r="F16"/>
      <c r="G16"/>
      <c r="H16"/>
      <c r="I16"/>
      <c r="J16"/>
      <c r="K16"/>
    </row>
    <row r="17" spans="1:11" x14ac:dyDescent="0.25">
      <c r="A17"/>
      <c r="B17"/>
      <c r="C17"/>
      <c r="D17"/>
      <c r="E17"/>
      <c r="F17"/>
      <c r="G17"/>
      <c r="H17"/>
      <c r="I17"/>
      <c r="J17"/>
      <c r="K17"/>
    </row>
    <row r="18" spans="1:11" x14ac:dyDescent="0.25">
      <c r="A18"/>
      <c r="B18"/>
      <c r="C18"/>
      <c r="D18"/>
      <c r="E18"/>
      <c r="F18"/>
      <c r="G18"/>
      <c r="H18"/>
      <c r="I18"/>
      <c r="J18"/>
      <c r="K18"/>
    </row>
    <row r="19" spans="1:11" x14ac:dyDescent="0.25">
      <c r="A19"/>
      <c r="B19"/>
      <c r="C19"/>
      <c r="D19"/>
      <c r="E19"/>
      <c r="F19"/>
      <c r="G19"/>
      <c r="H19"/>
      <c r="I19"/>
      <c r="J19"/>
      <c r="K19"/>
    </row>
    <row r="20" spans="1:11" x14ac:dyDescent="0.25">
      <c r="A20"/>
      <c r="B20"/>
      <c r="C20"/>
      <c r="D20"/>
      <c r="E20"/>
      <c r="F20"/>
      <c r="G20"/>
      <c r="H20"/>
      <c r="I20"/>
      <c r="J20"/>
      <c r="K20"/>
    </row>
    <row r="21" spans="1:11" x14ac:dyDescent="0.25">
      <c r="A21"/>
      <c r="B21"/>
      <c r="C21"/>
      <c r="D21"/>
      <c r="E21"/>
      <c r="F21"/>
      <c r="G21"/>
      <c r="H21"/>
      <c r="I21"/>
      <c r="J21"/>
      <c r="K21"/>
    </row>
    <row r="22" spans="1:1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/>
      <c r="B23"/>
      <c r="C23"/>
      <c r="D23"/>
      <c r="E23"/>
      <c r="F23"/>
      <c r="G23"/>
      <c r="H23"/>
      <c r="I23"/>
      <c r="J23"/>
      <c r="K23"/>
    </row>
    <row r="24" spans="1:11" x14ac:dyDescent="0.25">
      <c r="A24"/>
      <c r="B24"/>
      <c r="C24"/>
      <c r="D24"/>
      <c r="E24"/>
      <c r="F24"/>
      <c r="G24"/>
      <c r="H24"/>
      <c r="I24"/>
      <c r="J24"/>
      <c r="K24"/>
    </row>
    <row r="25" spans="1:11" x14ac:dyDescent="0.25">
      <c r="A25"/>
      <c r="B25"/>
      <c r="C25"/>
      <c r="D25"/>
      <c r="E25"/>
      <c r="F25"/>
      <c r="G25"/>
      <c r="H25"/>
      <c r="I25"/>
      <c r="J25"/>
      <c r="K25"/>
    </row>
    <row r="26" spans="1:11" x14ac:dyDescent="0.25">
      <c r="A26"/>
      <c r="B26"/>
      <c r="C26"/>
      <c r="D26"/>
      <c r="E26"/>
      <c r="F26"/>
      <c r="G26"/>
      <c r="H26"/>
      <c r="I26"/>
      <c r="J26"/>
      <c r="K26"/>
    </row>
    <row r="27" spans="1:11" x14ac:dyDescent="0.25">
      <c r="A27"/>
      <c r="B27"/>
      <c r="C27"/>
      <c r="D27"/>
      <c r="E27"/>
      <c r="F27"/>
      <c r="G27"/>
      <c r="H27"/>
      <c r="I27"/>
      <c r="J27"/>
      <c r="K27"/>
    </row>
    <row r="28" spans="1:11" x14ac:dyDescent="0.25">
      <c r="A28"/>
      <c r="B28"/>
      <c r="C28"/>
      <c r="D28"/>
      <c r="E28"/>
      <c r="F28"/>
      <c r="G28"/>
      <c r="H28"/>
      <c r="I28"/>
      <c r="J28"/>
      <c r="K28"/>
    </row>
    <row r="29" spans="1:11" x14ac:dyDescent="0.25">
      <c r="A29"/>
      <c r="B29"/>
      <c r="C29"/>
      <c r="D29"/>
      <c r="E29"/>
      <c r="F29"/>
      <c r="G29"/>
      <c r="H29"/>
      <c r="I29"/>
      <c r="J29"/>
      <c r="K29"/>
    </row>
  </sheetData>
  <dataConsolidate/>
  <phoneticPr fontId="6" type="noConversion"/>
  <pageMargins left="0.75" right="0.75" top="1.1399999999999999" bottom="0.75" header="0.5" footer="0.5"/>
  <pageSetup fitToHeight="0" orientation="landscape" r:id="rId1"/>
  <headerFooter alignWithMargins="0">
    <oddHeader>&amp;C&amp;9Acme Enterprises Inc._x000D_123 Easy Street Suite 333 | WILLIAMSVILLE, LA 123_x000D_EIN: 04-2003714</oddHeader>
    <oddFooter>&amp;C&amp;"Arial,Bold"&amp;12 Payroll Expense Summary&amp;R&amp;9 Jan 1 - Mar 31, 2013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6"/>
  <sheetViews>
    <sheetView showGridLines="0" workbookViewId="0">
      <selection sqref="A1:E1"/>
    </sheetView>
  </sheetViews>
  <sheetFormatPr defaultRowHeight="13.2" x14ac:dyDescent="0.25"/>
  <cols>
    <col min="1" max="7" width="9.88671875" style="7" customWidth="1"/>
    <col min="8" max="8" width="12" style="7" customWidth="1"/>
    <col min="9" max="12" width="9.88671875" style="7" customWidth="1"/>
  </cols>
  <sheetData>
    <row r="1" spans="1:16" s="16" customFormat="1" ht="24.75" customHeight="1" x14ac:dyDescent="0.25">
      <c r="A1" s="28" t="s">
        <v>47</v>
      </c>
      <c r="B1" s="29"/>
      <c r="C1" s="29"/>
      <c r="D1" s="29"/>
      <c r="E1" s="29"/>
      <c r="F1" s="14"/>
      <c r="G1" s="14"/>
      <c r="H1" s="15"/>
      <c r="I1" s="13"/>
      <c r="J1" s="13"/>
      <c r="K1" s="13"/>
      <c r="L1" s="13"/>
      <c r="M1" s="30" t="s">
        <v>102</v>
      </c>
      <c r="N1" s="30"/>
      <c r="O1" s="30"/>
      <c r="P1" s="30"/>
    </row>
    <row r="6" spans="1:16" x14ac:dyDescent="0.25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</sheetData>
  <dataConsolidate/>
  <mergeCells count="2">
    <mergeCell ref="A1:E1"/>
    <mergeCell ref="M1:P1"/>
  </mergeCells>
  <phoneticPr fontId="6" type="noConversion"/>
  <pageMargins left="0.75" right="0.75" top="1.1399999999999999" bottom="0.75" header="0.5" footer="0.5"/>
  <pageSetup fitToHeight="0" orientation="landscape" r:id="rId1"/>
  <headerFooter alignWithMargins="0">
    <oddHeader>&amp;C&amp;12Acme Enterprises Inc._x000D_123 Easy Street Suite 333 | WILLIAMSVILLE, LA 123_x000D_EIN: 04-2003714</oddHeader>
    <oddFooter>&amp;C&amp;"Arial,Bold"&amp;16 Payroll Expense Charts&amp;R&amp;12 Jan 1 - Mar 31, 2013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C1:M19"/>
  <sheetViews>
    <sheetView showGridLines="0" zoomScaleNormal="100" workbookViewId="0">
      <selection activeCell="M5" sqref="M5"/>
    </sheetView>
  </sheetViews>
  <sheetFormatPr defaultRowHeight="13.2" x14ac:dyDescent="0.25"/>
  <cols>
    <col min="1" max="1" width="15.6640625" bestFit="1" customWidth="1"/>
    <col min="2" max="2" width="6.33203125" bestFit="1" customWidth="1"/>
    <col min="3" max="3" width="6.5546875" style="17" bestFit="1" customWidth="1"/>
    <col min="4" max="4" width="10.109375" style="4" bestFit="1" customWidth="1"/>
    <col min="5" max="5" width="10.6640625" style="4" bestFit="1" customWidth="1"/>
    <col min="6" max="7" width="9.6640625" style="4" bestFit="1" customWidth="1"/>
    <col min="8" max="8" width="12.6640625" style="4" bestFit="1" customWidth="1"/>
    <col min="9" max="9" width="9.6640625" style="4" bestFit="1" customWidth="1"/>
    <col min="10" max="10" width="9" style="4" bestFit="1" customWidth="1"/>
    <col min="11" max="11" width="8.88671875" style="4" bestFit="1" customWidth="1"/>
    <col min="12" max="12" width="8.6640625" style="4" bestFit="1" customWidth="1"/>
    <col min="13" max="13" width="10.109375" style="4" bestFit="1" customWidth="1"/>
    <col min="14" max="14" width="7.109375" bestFit="1" customWidth="1"/>
    <col min="15" max="15" width="9.6640625" bestFit="1" customWidth="1"/>
    <col min="16" max="16" width="10.33203125" bestFit="1" customWidth="1"/>
    <col min="17" max="17" width="11.5546875" bestFit="1" customWidth="1"/>
    <col min="18" max="18" width="8.6640625" bestFit="1" customWidth="1"/>
    <col min="19" max="19" width="7.109375" bestFit="1" customWidth="1"/>
    <col min="20" max="20" width="10.109375" bestFit="1" customWidth="1"/>
    <col min="21" max="22" width="10.33203125" bestFit="1" customWidth="1"/>
    <col min="23" max="23" width="10.109375" bestFit="1" customWidth="1"/>
  </cols>
  <sheetData>
    <row r="1" spans="3:13" x14ac:dyDescent="0.25">
      <c r="C1"/>
      <c r="D1"/>
      <c r="E1"/>
      <c r="F1"/>
      <c r="G1"/>
      <c r="H1"/>
      <c r="I1"/>
      <c r="J1"/>
      <c r="K1"/>
      <c r="L1"/>
      <c r="M1"/>
    </row>
    <row r="2" spans="3:13" x14ac:dyDescent="0.25">
      <c r="C2"/>
      <c r="D2"/>
      <c r="E2"/>
      <c r="F2"/>
      <c r="G2"/>
      <c r="H2"/>
      <c r="I2"/>
      <c r="J2"/>
      <c r="K2"/>
      <c r="L2"/>
      <c r="M2"/>
    </row>
    <row r="3" spans="3:13" x14ac:dyDescent="0.25">
      <c r="C3"/>
      <c r="D3"/>
      <c r="E3"/>
      <c r="F3"/>
      <c r="G3"/>
      <c r="H3"/>
      <c r="I3"/>
      <c r="J3"/>
      <c r="K3"/>
      <c r="L3"/>
      <c r="M3"/>
    </row>
    <row r="4" spans="3:13" x14ac:dyDescent="0.25">
      <c r="C4"/>
      <c r="D4"/>
      <c r="E4"/>
      <c r="F4"/>
      <c r="G4"/>
      <c r="H4"/>
      <c r="I4"/>
      <c r="J4"/>
      <c r="K4"/>
      <c r="L4"/>
      <c r="M4"/>
    </row>
    <row r="5" spans="3:13" x14ac:dyDescent="0.25">
      <c r="C5"/>
      <c r="D5"/>
      <c r="E5"/>
      <c r="F5"/>
      <c r="G5"/>
      <c r="H5"/>
      <c r="I5"/>
      <c r="J5"/>
      <c r="K5"/>
      <c r="L5"/>
      <c r="M5"/>
    </row>
    <row r="6" spans="3:13" x14ac:dyDescent="0.25">
      <c r="C6"/>
      <c r="D6"/>
      <c r="E6"/>
      <c r="F6"/>
      <c r="G6"/>
      <c r="H6"/>
      <c r="I6"/>
      <c r="J6"/>
      <c r="K6"/>
      <c r="L6"/>
      <c r="M6"/>
    </row>
    <row r="7" spans="3:13" x14ac:dyDescent="0.25">
      <c r="C7"/>
      <c r="D7"/>
      <c r="E7"/>
      <c r="F7"/>
      <c r="G7"/>
      <c r="H7"/>
      <c r="I7"/>
      <c r="J7"/>
      <c r="K7"/>
      <c r="L7"/>
      <c r="M7"/>
    </row>
    <row r="8" spans="3:13" x14ac:dyDescent="0.25">
      <c r="C8"/>
      <c r="D8"/>
      <c r="E8"/>
      <c r="F8"/>
      <c r="G8"/>
      <c r="H8"/>
      <c r="I8"/>
      <c r="J8"/>
      <c r="K8"/>
      <c r="L8"/>
      <c r="M8"/>
    </row>
    <row r="9" spans="3:13" x14ac:dyDescent="0.25">
      <c r="C9"/>
      <c r="D9"/>
      <c r="E9"/>
      <c r="F9"/>
      <c r="G9"/>
      <c r="H9"/>
      <c r="I9"/>
      <c r="J9"/>
      <c r="K9"/>
      <c r="L9"/>
      <c r="M9"/>
    </row>
    <row r="10" spans="3:13" x14ac:dyDescent="0.25">
      <c r="C10"/>
      <c r="D10"/>
      <c r="E10"/>
      <c r="F10"/>
      <c r="G10"/>
      <c r="H10"/>
      <c r="I10"/>
      <c r="J10"/>
      <c r="K10"/>
      <c r="L10"/>
      <c r="M10"/>
    </row>
    <row r="11" spans="3:13" x14ac:dyDescent="0.25">
      <c r="C11"/>
      <c r="D11"/>
      <c r="E11"/>
      <c r="F11"/>
      <c r="G11"/>
      <c r="H11"/>
      <c r="I11"/>
      <c r="J11"/>
      <c r="K11"/>
      <c r="L11"/>
      <c r="M11"/>
    </row>
    <row r="12" spans="3:13" x14ac:dyDescent="0.25">
      <c r="C12"/>
      <c r="D12"/>
      <c r="E12"/>
      <c r="F12"/>
      <c r="G12"/>
      <c r="H12"/>
      <c r="I12"/>
      <c r="J12"/>
      <c r="K12"/>
      <c r="L12"/>
      <c r="M12"/>
    </row>
    <row r="13" spans="3:13" x14ac:dyDescent="0.25">
      <c r="C13"/>
      <c r="D13"/>
      <c r="E13"/>
      <c r="F13"/>
      <c r="G13"/>
      <c r="H13"/>
      <c r="I13"/>
      <c r="J13"/>
      <c r="K13"/>
      <c r="L13"/>
      <c r="M13"/>
    </row>
    <row r="14" spans="3:13" x14ac:dyDescent="0.25">
      <c r="C14"/>
      <c r="D14"/>
      <c r="E14"/>
      <c r="F14"/>
      <c r="G14"/>
      <c r="H14"/>
      <c r="I14"/>
      <c r="J14"/>
      <c r="K14"/>
      <c r="L14"/>
      <c r="M14"/>
    </row>
    <row r="15" spans="3:13" x14ac:dyDescent="0.25">
      <c r="C15"/>
      <c r="D15"/>
      <c r="E15"/>
      <c r="F15"/>
      <c r="G15"/>
      <c r="H15"/>
      <c r="I15"/>
      <c r="J15"/>
      <c r="K15"/>
      <c r="L15"/>
      <c r="M15"/>
    </row>
    <row r="16" spans="3:13" x14ac:dyDescent="0.25">
      <c r="C16"/>
      <c r="D16"/>
      <c r="E16"/>
      <c r="F16"/>
      <c r="G16"/>
      <c r="H16"/>
      <c r="I16"/>
      <c r="J16"/>
      <c r="K16"/>
      <c r="L16"/>
      <c r="M16"/>
    </row>
    <row r="17" spans="3:13" x14ac:dyDescent="0.25">
      <c r="C17"/>
      <c r="D17"/>
      <c r="E17"/>
      <c r="F17"/>
      <c r="G17"/>
      <c r="H17"/>
      <c r="I17"/>
      <c r="J17"/>
      <c r="K17"/>
      <c r="L17"/>
      <c r="M17"/>
    </row>
    <row r="18" spans="3:13" x14ac:dyDescent="0.25">
      <c r="C18"/>
      <c r="D18"/>
      <c r="E18"/>
      <c r="F18"/>
      <c r="G18"/>
      <c r="H18"/>
      <c r="I18"/>
      <c r="J18"/>
      <c r="K18"/>
      <c r="L18"/>
      <c r="M18"/>
    </row>
    <row r="19" spans="3:13" x14ac:dyDescent="0.25">
      <c r="C19"/>
      <c r="D19"/>
      <c r="E19"/>
      <c r="F19"/>
      <c r="G19"/>
      <c r="H19"/>
      <c r="I19"/>
      <c r="J19"/>
      <c r="K19"/>
      <c r="L19"/>
      <c r="M19"/>
    </row>
  </sheetData>
  <dataConsolidate/>
  <phoneticPr fontId="0" type="noConversion"/>
  <pageMargins left="0.75" right="0.75" top="1.1399999999999999" bottom="0.75" header="0.5" footer="0.5"/>
  <pageSetup fitToHeight="0" orientation="landscape" r:id="rId1"/>
  <headerFooter alignWithMargins="0">
    <oddHeader>&amp;C&amp;10Acme Enterprises Inc._x000D_123 Easy Street Suite 333 | WILLIAMSVILLE, LA 123_x000D_EIN: 04-2003714</oddHeader>
    <oddFooter>&amp;C&amp;"Arial,Bold"&amp;13 Employee YTD Summary&amp;R&amp;10 Jan 1 - Jan 18, 2013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L856"/>
  <sheetViews>
    <sheetView showGridLines="0" workbookViewId="0">
      <selection sqref="A1:D1"/>
    </sheetView>
  </sheetViews>
  <sheetFormatPr defaultRowHeight="13.2" x14ac:dyDescent="0.25"/>
  <cols>
    <col min="1" max="1" width="32.109375" bestFit="1" customWidth="1"/>
    <col min="2" max="2" width="14" style="4" bestFit="1" customWidth="1"/>
    <col min="3" max="3" width="10.109375" style="4" bestFit="1" customWidth="1"/>
    <col min="4" max="4" width="12.6640625" style="4" bestFit="1" customWidth="1"/>
    <col min="5" max="5" width="6.5546875" style="4" bestFit="1" customWidth="1"/>
    <col min="6" max="6" width="10.109375" style="4" bestFit="1" customWidth="1"/>
    <col min="7" max="7" width="12.6640625" style="4" bestFit="1" customWidth="1"/>
    <col min="8" max="8" width="8.6640625" style="4" bestFit="1" customWidth="1"/>
    <col min="9" max="9" width="5.33203125" style="4" bestFit="1" customWidth="1"/>
    <col min="10" max="10" width="10.109375" style="4" bestFit="1" customWidth="1"/>
    <col min="11" max="11" width="7.6640625" style="4" bestFit="1" customWidth="1"/>
    <col min="12" max="12" width="12.6640625" style="4" bestFit="1" customWidth="1"/>
    <col min="13" max="13" width="7.6640625" bestFit="1" customWidth="1"/>
  </cols>
  <sheetData>
    <row r="1" spans="2:12" x14ac:dyDescent="0.25">
      <c r="B1"/>
      <c r="C1"/>
      <c r="D1"/>
      <c r="E1"/>
      <c r="F1"/>
      <c r="G1"/>
      <c r="H1"/>
      <c r="I1"/>
      <c r="J1"/>
      <c r="K1"/>
      <c r="L1"/>
    </row>
    <row r="2" spans="2:12" x14ac:dyDescent="0.25">
      <c r="B2"/>
      <c r="C2"/>
      <c r="D2"/>
      <c r="E2"/>
      <c r="F2"/>
      <c r="G2"/>
      <c r="H2"/>
      <c r="I2"/>
      <c r="J2"/>
      <c r="K2"/>
      <c r="L2"/>
    </row>
    <row r="3" spans="2:12" x14ac:dyDescent="0.25">
      <c r="B3"/>
      <c r="C3"/>
      <c r="D3"/>
      <c r="E3"/>
      <c r="F3"/>
      <c r="G3"/>
      <c r="H3"/>
      <c r="I3"/>
      <c r="J3"/>
      <c r="K3"/>
      <c r="L3"/>
    </row>
    <row r="4" spans="2:12" x14ac:dyDescent="0.25">
      <c r="B4"/>
      <c r="C4"/>
      <c r="D4"/>
      <c r="E4"/>
      <c r="F4"/>
      <c r="G4"/>
      <c r="H4"/>
      <c r="I4"/>
      <c r="J4"/>
      <c r="K4"/>
      <c r="L4"/>
    </row>
    <row r="5" spans="2:12" x14ac:dyDescent="0.25">
      <c r="B5"/>
      <c r="C5"/>
      <c r="D5"/>
      <c r="E5"/>
      <c r="F5"/>
      <c r="G5"/>
      <c r="H5"/>
      <c r="I5"/>
      <c r="J5"/>
      <c r="K5"/>
      <c r="L5"/>
    </row>
    <row r="6" spans="2:12" x14ac:dyDescent="0.25">
      <c r="B6"/>
      <c r="C6"/>
      <c r="D6"/>
      <c r="E6"/>
      <c r="F6"/>
      <c r="G6"/>
      <c r="H6"/>
      <c r="I6"/>
      <c r="J6"/>
      <c r="K6"/>
      <c r="L6"/>
    </row>
    <row r="7" spans="2:12" x14ac:dyDescent="0.25">
      <c r="B7"/>
      <c r="C7"/>
      <c r="D7"/>
      <c r="E7"/>
      <c r="F7"/>
      <c r="G7"/>
      <c r="H7"/>
      <c r="I7"/>
      <c r="J7"/>
      <c r="K7"/>
      <c r="L7"/>
    </row>
    <row r="8" spans="2:12" x14ac:dyDescent="0.25">
      <c r="B8"/>
      <c r="C8"/>
      <c r="D8"/>
      <c r="E8"/>
      <c r="F8"/>
      <c r="G8"/>
      <c r="H8"/>
      <c r="I8"/>
      <c r="J8"/>
      <c r="K8"/>
      <c r="L8"/>
    </row>
    <row r="9" spans="2:12" x14ac:dyDescent="0.25">
      <c r="B9"/>
      <c r="C9"/>
      <c r="D9"/>
      <c r="E9"/>
      <c r="F9"/>
      <c r="G9"/>
      <c r="H9"/>
      <c r="I9"/>
      <c r="J9"/>
      <c r="K9"/>
      <c r="L9"/>
    </row>
    <row r="10" spans="2:12" x14ac:dyDescent="0.25">
      <c r="B10"/>
      <c r="C10"/>
      <c r="D10"/>
      <c r="E10"/>
      <c r="F10"/>
      <c r="G10"/>
      <c r="H10"/>
      <c r="I10"/>
      <c r="J10"/>
      <c r="K10"/>
      <c r="L10"/>
    </row>
    <row r="11" spans="2:12" x14ac:dyDescent="0.25">
      <c r="B11"/>
      <c r="C11"/>
      <c r="D11"/>
      <c r="E11"/>
      <c r="F11"/>
      <c r="G11"/>
      <c r="H11"/>
      <c r="I11"/>
      <c r="J11"/>
      <c r="K11"/>
      <c r="L11"/>
    </row>
    <row r="12" spans="2:12" x14ac:dyDescent="0.25">
      <c r="B12"/>
      <c r="C12"/>
      <c r="D12"/>
      <c r="E12"/>
      <c r="F12"/>
      <c r="G12"/>
      <c r="H12"/>
      <c r="I12"/>
      <c r="J12"/>
      <c r="K12"/>
      <c r="L12"/>
    </row>
    <row r="13" spans="2:12" x14ac:dyDescent="0.25">
      <c r="B13"/>
      <c r="C13"/>
      <c r="D13"/>
      <c r="E13"/>
      <c r="F13"/>
      <c r="G13"/>
      <c r="H13"/>
      <c r="I13"/>
      <c r="J13"/>
      <c r="K13"/>
      <c r="L13"/>
    </row>
    <row r="14" spans="2:12" x14ac:dyDescent="0.25">
      <c r="B14"/>
      <c r="C14"/>
      <c r="D14"/>
      <c r="E14"/>
      <c r="F14"/>
      <c r="G14"/>
      <c r="H14"/>
      <c r="I14"/>
      <c r="J14"/>
      <c r="K14"/>
      <c r="L14"/>
    </row>
    <row r="15" spans="2:12" x14ac:dyDescent="0.25">
      <c r="B15"/>
      <c r="C15"/>
      <c r="D15"/>
      <c r="E15"/>
      <c r="F15"/>
      <c r="G15"/>
      <c r="H15"/>
      <c r="I15"/>
      <c r="J15"/>
      <c r="K15"/>
      <c r="L15"/>
    </row>
    <row r="16" spans="2:12" x14ac:dyDescent="0.25">
      <c r="B16"/>
      <c r="C16"/>
      <c r="D16"/>
      <c r="E16"/>
      <c r="F16"/>
      <c r="G16"/>
      <c r="H16"/>
      <c r="I16"/>
      <c r="J16"/>
      <c r="K16"/>
      <c r="L16"/>
    </row>
    <row r="17" spans="2:12" x14ac:dyDescent="0.25">
      <c r="B17"/>
      <c r="C17"/>
      <c r="D17"/>
      <c r="E17"/>
      <c r="F17"/>
      <c r="G17"/>
      <c r="H17"/>
      <c r="I17"/>
      <c r="J17"/>
      <c r="K17"/>
      <c r="L17"/>
    </row>
    <row r="18" spans="2:12" x14ac:dyDescent="0.25">
      <c r="B18"/>
      <c r="C18"/>
      <c r="D18"/>
      <c r="E18"/>
      <c r="F18"/>
      <c r="G18"/>
      <c r="H18"/>
      <c r="I18"/>
      <c r="J18"/>
      <c r="K18"/>
      <c r="L18"/>
    </row>
    <row r="19" spans="2:12" x14ac:dyDescent="0.25">
      <c r="B19"/>
      <c r="C19"/>
      <c r="D19"/>
      <c r="E19"/>
      <c r="F19"/>
      <c r="G19"/>
      <c r="H19"/>
      <c r="I19"/>
      <c r="J19"/>
      <c r="K19"/>
      <c r="L19"/>
    </row>
    <row r="20" spans="2:12" x14ac:dyDescent="0.25">
      <c r="B20"/>
      <c r="C20"/>
      <c r="D20"/>
      <c r="E20"/>
      <c r="F20"/>
      <c r="G20"/>
      <c r="H20"/>
      <c r="I20"/>
      <c r="J20"/>
      <c r="K20"/>
      <c r="L20"/>
    </row>
    <row r="21" spans="2:12" x14ac:dyDescent="0.25">
      <c r="B21"/>
      <c r="C21"/>
      <c r="D21"/>
      <c r="E21"/>
      <c r="F21"/>
      <c r="G21"/>
      <c r="H21"/>
      <c r="I21"/>
      <c r="J21"/>
      <c r="K21"/>
      <c r="L21"/>
    </row>
    <row r="22" spans="2:12" x14ac:dyDescent="0.25">
      <c r="B22"/>
      <c r="C22"/>
      <c r="D22"/>
      <c r="E22"/>
      <c r="F22"/>
      <c r="G22"/>
      <c r="H22"/>
      <c r="I22"/>
      <c r="J22"/>
      <c r="K22"/>
      <c r="L22"/>
    </row>
    <row r="23" spans="2:12" x14ac:dyDescent="0.25">
      <c r="B23"/>
      <c r="C23"/>
      <c r="D23"/>
      <c r="E23"/>
      <c r="F23"/>
      <c r="G23"/>
      <c r="H23"/>
      <c r="I23"/>
      <c r="J23"/>
      <c r="K23"/>
      <c r="L23"/>
    </row>
    <row r="24" spans="2:12" x14ac:dyDescent="0.25">
      <c r="B24"/>
      <c r="C24"/>
      <c r="D24"/>
      <c r="E24"/>
      <c r="F24"/>
      <c r="G24"/>
      <c r="H24"/>
      <c r="I24"/>
      <c r="J24"/>
      <c r="K24"/>
      <c r="L24"/>
    </row>
    <row r="25" spans="2:12" x14ac:dyDescent="0.25">
      <c r="B25"/>
      <c r="C25"/>
      <c r="D25"/>
      <c r="E25"/>
      <c r="F25"/>
      <c r="G25"/>
      <c r="H25"/>
      <c r="I25"/>
      <c r="J25"/>
      <c r="K25"/>
      <c r="L25"/>
    </row>
    <row r="26" spans="2:12" x14ac:dyDescent="0.25">
      <c r="B26"/>
      <c r="C26"/>
      <c r="D26"/>
      <c r="E26"/>
      <c r="F26"/>
      <c r="G26"/>
      <c r="H26"/>
      <c r="I26"/>
      <c r="J26"/>
      <c r="K26"/>
      <c r="L26"/>
    </row>
    <row r="27" spans="2:12" x14ac:dyDescent="0.25">
      <c r="B27"/>
      <c r="C27"/>
      <c r="D27"/>
      <c r="E27"/>
      <c r="F27"/>
      <c r="G27"/>
      <c r="H27"/>
      <c r="I27"/>
      <c r="J27"/>
      <c r="K27"/>
      <c r="L27"/>
    </row>
    <row r="28" spans="2:12" x14ac:dyDescent="0.25">
      <c r="B28"/>
      <c r="C28"/>
      <c r="D28"/>
      <c r="E28"/>
      <c r="F28"/>
      <c r="G28"/>
      <c r="H28"/>
      <c r="I28"/>
      <c r="J28"/>
      <c r="K28"/>
      <c r="L28"/>
    </row>
    <row r="29" spans="2:12" x14ac:dyDescent="0.25">
      <c r="B29"/>
      <c r="C29"/>
      <c r="D29"/>
      <c r="E29"/>
      <c r="F29"/>
      <c r="G29"/>
      <c r="H29"/>
      <c r="I29"/>
      <c r="J29"/>
      <c r="K29"/>
      <c r="L29"/>
    </row>
    <row r="30" spans="2:12" x14ac:dyDescent="0.25">
      <c r="B30"/>
      <c r="C30"/>
      <c r="D30"/>
      <c r="E30"/>
      <c r="F30"/>
      <c r="G30"/>
      <c r="H30"/>
      <c r="I30"/>
      <c r="J30"/>
      <c r="K30"/>
      <c r="L30"/>
    </row>
    <row r="31" spans="2:12" x14ac:dyDescent="0.25">
      <c r="B31"/>
      <c r="C31"/>
      <c r="D31"/>
      <c r="E31"/>
      <c r="F31"/>
      <c r="G31"/>
      <c r="H31"/>
      <c r="I31"/>
      <c r="J31"/>
      <c r="K31"/>
      <c r="L31"/>
    </row>
    <row r="32" spans="2:12" x14ac:dyDescent="0.25">
      <c r="B32"/>
      <c r="C32"/>
      <c r="D32"/>
      <c r="E32"/>
      <c r="F32"/>
      <c r="G32"/>
      <c r="H32"/>
      <c r="I32"/>
      <c r="J32"/>
      <c r="K32"/>
      <c r="L32"/>
    </row>
    <row r="33" spans="2:12" x14ac:dyDescent="0.25">
      <c r="B33"/>
      <c r="C33"/>
      <c r="D33"/>
      <c r="E33"/>
      <c r="F33"/>
      <c r="G33"/>
      <c r="H33"/>
      <c r="I33"/>
      <c r="J33"/>
      <c r="K33"/>
      <c r="L33"/>
    </row>
    <row r="34" spans="2:12" x14ac:dyDescent="0.25">
      <c r="B34"/>
      <c r="C34"/>
      <c r="D34"/>
      <c r="E34"/>
      <c r="F34"/>
      <c r="G34"/>
      <c r="H34"/>
      <c r="I34"/>
      <c r="J34"/>
      <c r="K34"/>
      <c r="L34"/>
    </row>
    <row r="35" spans="2:12" x14ac:dyDescent="0.25">
      <c r="B35"/>
      <c r="C35"/>
      <c r="D35"/>
      <c r="E35"/>
      <c r="F35"/>
      <c r="G35"/>
      <c r="H35"/>
      <c r="I35"/>
      <c r="J35"/>
      <c r="K35"/>
      <c r="L35"/>
    </row>
    <row r="36" spans="2:12" x14ac:dyDescent="0.25">
      <c r="B36"/>
      <c r="C36"/>
      <c r="D36"/>
      <c r="E36"/>
      <c r="F36"/>
      <c r="G36"/>
      <c r="H36"/>
      <c r="I36"/>
      <c r="J36"/>
      <c r="K36"/>
      <c r="L36"/>
    </row>
    <row r="37" spans="2:12" x14ac:dyDescent="0.25">
      <c r="B37"/>
      <c r="C37"/>
      <c r="D37"/>
      <c r="E37"/>
      <c r="F37"/>
      <c r="G37"/>
      <c r="H37"/>
      <c r="I37"/>
      <c r="J37"/>
      <c r="K37"/>
      <c r="L37"/>
    </row>
    <row r="38" spans="2:12" x14ac:dyDescent="0.25">
      <c r="B38"/>
      <c r="C38"/>
      <c r="D38"/>
      <c r="E38"/>
      <c r="F38"/>
      <c r="G38"/>
      <c r="H38"/>
      <c r="I38"/>
      <c r="J38"/>
      <c r="K38"/>
      <c r="L38"/>
    </row>
    <row r="39" spans="2:12" x14ac:dyDescent="0.25">
      <c r="B39"/>
      <c r="C39"/>
      <c r="D39"/>
      <c r="E39"/>
      <c r="F39"/>
      <c r="G39"/>
      <c r="H39"/>
      <c r="I39"/>
      <c r="J39"/>
      <c r="K39"/>
      <c r="L39"/>
    </row>
    <row r="40" spans="2:12" x14ac:dyDescent="0.25">
      <c r="B40"/>
      <c r="C40"/>
      <c r="D40"/>
      <c r="E40"/>
      <c r="F40"/>
      <c r="G40"/>
      <c r="H40"/>
      <c r="I40"/>
      <c r="J40"/>
      <c r="K40"/>
      <c r="L40"/>
    </row>
    <row r="41" spans="2:12" x14ac:dyDescent="0.25">
      <c r="B41"/>
      <c r="C41"/>
      <c r="D41"/>
      <c r="E41"/>
      <c r="F41"/>
      <c r="G41"/>
      <c r="H41"/>
      <c r="I41"/>
      <c r="J41"/>
      <c r="K41"/>
      <c r="L41"/>
    </row>
    <row r="42" spans="2:12" x14ac:dyDescent="0.25">
      <c r="B42"/>
      <c r="C42"/>
      <c r="D42"/>
      <c r="E42"/>
      <c r="F42"/>
      <c r="G42"/>
      <c r="H42"/>
      <c r="I42"/>
      <c r="J42"/>
      <c r="K42"/>
      <c r="L42"/>
    </row>
    <row r="43" spans="2:12" x14ac:dyDescent="0.25">
      <c r="B43"/>
      <c r="C43"/>
      <c r="D43"/>
      <c r="E43"/>
      <c r="F43"/>
      <c r="G43"/>
      <c r="H43"/>
      <c r="I43"/>
      <c r="J43"/>
      <c r="K43"/>
      <c r="L43"/>
    </row>
    <row r="44" spans="2:12" x14ac:dyDescent="0.25">
      <c r="B44"/>
      <c r="C44"/>
      <c r="D44"/>
      <c r="E44"/>
      <c r="F44"/>
      <c r="G44"/>
      <c r="H44"/>
      <c r="I44"/>
      <c r="J44"/>
      <c r="K44"/>
      <c r="L44"/>
    </row>
    <row r="45" spans="2:12" x14ac:dyDescent="0.25">
      <c r="B45"/>
      <c r="C45"/>
      <c r="D45"/>
      <c r="E45"/>
      <c r="F45"/>
      <c r="G45"/>
      <c r="H45"/>
      <c r="I45"/>
      <c r="J45"/>
      <c r="K45"/>
      <c r="L45"/>
    </row>
    <row r="46" spans="2:12" x14ac:dyDescent="0.25">
      <c r="B46"/>
      <c r="C46"/>
      <c r="D46"/>
      <c r="E46"/>
      <c r="F46"/>
      <c r="G46"/>
      <c r="H46"/>
      <c r="I46"/>
      <c r="J46"/>
      <c r="K46"/>
      <c r="L46"/>
    </row>
    <row r="47" spans="2:12" x14ac:dyDescent="0.25">
      <c r="B47"/>
      <c r="C47"/>
      <c r="D47"/>
      <c r="E47"/>
      <c r="F47"/>
      <c r="G47"/>
      <c r="H47"/>
      <c r="I47"/>
      <c r="J47"/>
      <c r="K47"/>
      <c r="L47"/>
    </row>
    <row r="48" spans="2:12" x14ac:dyDescent="0.25">
      <c r="B48"/>
      <c r="C48"/>
      <c r="D48"/>
      <c r="E48"/>
      <c r="F48"/>
      <c r="G48"/>
      <c r="H48"/>
      <c r="I48"/>
      <c r="J48"/>
      <c r="K48"/>
      <c r="L48"/>
    </row>
    <row r="49" spans="2:12" x14ac:dyDescent="0.25">
      <c r="B49"/>
      <c r="C49"/>
      <c r="D49"/>
      <c r="E49"/>
      <c r="F49"/>
      <c r="G49"/>
      <c r="H49"/>
      <c r="I49"/>
      <c r="J49"/>
      <c r="K49"/>
      <c r="L49"/>
    </row>
    <row r="50" spans="2:12" x14ac:dyDescent="0.25">
      <c r="B50"/>
      <c r="C50"/>
      <c r="D50"/>
      <c r="E50"/>
      <c r="F50"/>
      <c r="G50"/>
      <c r="H50"/>
      <c r="I50"/>
      <c r="J50"/>
      <c r="K50"/>
      <c r="L50"/>
    </row>
    <row r="51" spans="2:12" x14ac:dyDescent="0.25">
      <c r="B51"/>
      <c r="C51"/>
      <c r="D51"/>
      <c r="E51"/>
      <c r="F51"/>
      <c r="G51"/>
      <c r="H51"/>
      <c r="I51"/>
      <c r="J51"/>
      <c r="K51"/>
      <c r="L51"/>
    </row>
    <row r="52" spans="2:12" x14ac:dyDescent="0.25">
      <c r="B52"/>
      <c r="C52"/>
      <c r="D52"/>
      <c r="E52"/>
      <c r="F52"/>
      <c r="G52"/>
      <c r="H52"/>
      <c r="I52"/>
      <c r="J52"/>
      <c r="K52"/>
      <c r="L52"/>
    </row>
    <row r="53" spans="2:12" x14ac:dyDescent="0.25">
      <c r="B53"/>
      <c r="C53"/>
      <c r="D53"/>
      <c r="E53"/>
      <c r="F53"/>
      <c r="G53"/>
      <c r="H53"/>
      <c r="I53"/>
      <c r="J53"/>
      <c r="K53"/>
      <c r="L53"/>
    </row>
    <row r="54" spans="2:12" x14ac:dyDescent="0.25">
      <c r="B54"/>
      <c r="C54"/>
      <c r="D54"/>
      <c r="E54"/>
      <c r="F54"/>
      <c r="G54"/>
      <c r="H54"/>
      <c r="I54"/>
      <c r="J54"/>
      <c r="K54"/>
      <c r="L54"/>
    </row>
    <row r="55" spans="2:12" x14ac:dyDescent="0.25">
      <c r="B55"/>
      <c r="C55"/>
      <c r="D55"/>
      <c r="E55"/>
      <c r="F55"/>
      <c r="G55"/>
      <c r="H55"/>
      <c r="I55"/>
      <c r="J55"/>
      <c r="K55"/>
      <c r="L55"/>
    </row>
    <row r="56" spans="2:12" x14ac:dyDescent="0.25">
      <c r="B56"/>
      <c r="C56"/>
      <c r="D56"/>
      <c r="E56"/>
      <c r="F56"/>
      <c r="G56"/>
      <c r="H56"/>
      <c r="I56"/>
      <c r="J56"/>
      <c r="K56"/>
      <c r="L56"/>
    </row>
    <row r="57" spans="2:12" x14ac:dyDescent="0.25">
      <c r="B57"/>
      <c r="C57"/>
      <c r="D57"/>
      <c r="E57"/>
      <c r="F57"/>
      <c r="G57"/>
      <c r="H57"/>
      <c r="I57"/>
      <c r="J57"/>
      <c r="K57"/>
      <c r="L57"/>
    </row>
    <row r="58" spans="2:12" x14ac:dyDescent="0.25">
      <c r="B58"/>
      <c r="C58"/>
      <c r="D58"/>
      <c r="E58"/>
      <c r="F58"/>
      <c r="G58"/>
      <c r="H58"/>
      <c r="I58"/>
      <c r="J58"/>
      <c r="K58"/>
      <c r="L58"/>
    </row>
    <row r="59" spans="2:12" x14ac:dyDescent="0.25">
      <c r="B59"/>
      <c r="C59"/>
      <c r="D59"/>
      <c r="E59"/>
      <c r="F59"/>
      <c r="G59"/>
      <c r="H59"/>
      <c r="I59"/>
      <c r="J59"/>
      <c r="K59"/>
      <c r="L59"/>
    </row>
    <row r="60" spans="2:12" x14ac:dyDescent="0.25">
      <c r="B60"/>
      <c r="C60"/>
      <c r="D60"/>
      <c r="E60"/>
      <c r="F60"/>
      <c r="G60"/>
      <c r="H60"/>
      <c r="I60"/>
      <c r="J60"/>
      <c r="K60"/>
      <c r="L60"/>
    </row>
    <row r="61" spans="2:12" x14ac:dyDescent="0.25">
      <c r="B61"/>
      <c r="C61"/>
      <c r="D61"/>
      <c r="E61"/>
      <c r="F61"/>
      <c r="G61"/>
      <c r="H61"/>
      <c r="I61"/>
      <c r="J61"/>
      <c r="K61"/>
      <c r="L61"/>
    </row>
    <row r="62" spans="2:12" x14ac:dyDescent="0.25">
      <c r="B62"/>
      <c r="C62"/>
      <c r="D62"/>
      <c r="E62"/>
      <c r="F62"/>
      <c r="G62"/>
      <c r="H62"/>
      <c r="I62"/>
      <c r="J62"/>
      <c r="K62"/>
      <c r="L62"/>
    </row>
    <row r="63" spans="2:12" x14ac:dyDescent="0.25">
      <c r="B63"/>
      <c r="C63"/>
      <c r="D63"/>
      <c r="E63"/>
      <c r="F63"/>
      <c r="G63"/>
      <c r="H63"/>
      <c r="I63"/>
      <c r="J63"/>
      <c r="K63"/>
      <c r="L63"/>
    </row>
    <row r="64" spans="2:12" x14ac:dyDescent="0.25">
      <c r="B64"/>
      <c r="C64"/>
      <c r="D64"/>
      <c r="E64"/>
      <c r="F64"/>
      <c r="G64"/>
      <c r="H64"/>
      <c r="I64"/>
      <c r="J64"/>
      <c r="K64"/>
      <c r="L64"/>
    </row>
    <row r="65" spans="2:12" x14ac:dyDescent="0.25">
      <c r="B65"/>
      <c r="C65"/>
      <c r="D65"/>
      <c r="E65"/>
      <c r="F65"/>
      <c r="G65"/>
      <c r="H65"/>
      <c r="I65"/>
      <c r="J65"/>
      <c r="K65"/>
      <c r="L65"/>
    </row>
    <row r="66" spans="2:12" x14ac:dyDescent="0.25">
      <c r="B66"/>
      <c r="C66"/>
      <c r="D66"/>
      <c r="E66"/>
      <c r="F66"/>
      <c r="G66"/>
      <c r="H66"/>
      <c r="I66"/>
      <c r="J66"/>
      <c r="K66"/>
      <c r="L66"/>
    </row>
    <row r="67" spans="2:12" x14ac:dyDescent="0.25">
      <c r="B67"/>
      <c r="C67"/>
      <c r="D67"/>
      <c r="E67"/>
      <c r="F67"/>
      <c r="G67"/>
      <c r="H67"/>
      <c r="I67"/>
      <c r="J67"/>
      <c r="K67"/>
      <c r="L67"/>
    </row>
    <row r="68" spans="2:12" x14ac:dyDescent="0.25">
      <c r="B68"/>
      <c r="C68"/>
      <c r="D68"/>
      <c r="E68"/>
      <c r="F68"/>
      <c r="G68"/>
      <c r="H68"/>
      <c r="I68"/>
      <c r="J68"/>
      <c r="K68"/>
      <c r="L68"/>
    </row>
    <row r="69" spans="2:12" x14ac:dyDescent="0.25">
      <c r="B69"/>
      <c r="C69"/>
      <c r="D69"/>
      <c r="E69"/>
      <c r="F69"/>
      <c r="G69"/>
      <c r="H69"/>
      <c r="I69"/>
      <c r="J69"/>
      <c r="K69"/>
      <c r="L69"/>
    </row>
    <row r="70" spans="2:12" x14ac:dyDescent="0.25">
      <c r="B70"/>
      <c r="C70"/>
      <c r="D70"/>
      <c r="E70"/>
      <c r="F70"/>
      <c r="G70"/>
      <c r="H70"/>
      <c r="I70"/>
      <c r="J70"/>
      <c r="K70"/>
      <c r="L70"/>
    </row>
    <row r="71" spans="2:12" x14ac:dyDescent="0.25">
      <c r="B71"/>
      <c r="C71"/>
      <c r="D71"/>
      <c r="E71"/>
      <c r="F71"/>
      <c r="G71"/>
      <c r="H71"/>
      <c r="I71"/>
      <c r="J71"/>
      <c r="K71"/>
      <c r="L71"/>
    </row>
    <row r="72" spans="2:12" x14ac:dyDescent="0.25">
      <c r="B72"/>
      <c r="C72"/>
      <c r="D72"/>
      <c r="E72"/>
      <c r="F72"/>
      <c r="G72"/>
      <c r="H72"/>
      <c r="I72"/>
      <c r="J72"/>
      <c r="K72"/>
      <c r="L72"/>
    </row>
    <row r="73" spans="2:12" x14ac:dyDescent="0.25">
      <c r="B73"/>
      <c r="C73"/>
      <c r="D73"/>
      <c r="E73"/>
      <c r="F73"/>
      <c r="G73"/>
      <c r="H73"/>
      <c r="I73"/>
      <c r="J73"/>
      <c r="K73"/>
      <c r="L73"/>
    </row>
    <row r="74" spans="2:12" x14ac:dyDescent="0.25">
      <c r="B74"/>
      <c r="C74"/>
      <c r="D74"/>
      <c r="E74"/>
      <c r="F74"/>
      <c r="G74"/>
      <c r="H74"/>
      <c r="I74"/>
      <c r="J74"/>
      <c r="K74"/>
      <c r="L74"/>
    </row>
    <row r="75" spans="2:12" x14ac:dyDescent="0.25">
      <c r="B75"/>
      <c r="C75"/>
      <c r="D75"/>
      <c r="E75"/>
      <c r="F75"/>
      <c r="G75"/>
      <c r="H75"/>
      <c r="I75"/>
      <c r="J75"/>
      <c r="K75"/>
      <c r="L75"/>
    </row>
    <row r="76" spans="2:12" x14ac:dyDescent="0.25">
      <c r="B76"/>
      <c r="C76"/>
      <c r="D76"/>
      <c r="E76"/>
      <c r="F76"/>
      <c r="G76"/>
      <c r="H76"/>
      <c r="I76"/>
      <c r="J76"/>
      <c r="K76"/>
      <c r="L76"/>
    </row>
    <row r="77" spans="2:12" x14ac:dyDescent="0.25">
      <c r="B77"/>
      <c r="C77"/>
      <c r="D77"/>
      <c r="E77"/>
      <c r="F77"/>
      <c r="G77"/>
      <c r="H77"/>
      <c r="I77"/>
      <c r="J77"/>
      <c r="K77"/>
      <c r="L77"/>
    </row>
    <row r="78" spans="2:12" x14ac:dyDescent="0.25">
      <c r="B78"/>
      <c r="C78"/>
      <c r="D78"/>
      <c r="E78"/>
      <c r="F78"/>
      <c r="G78"/>
      <c r="H78"/>
      <c r="I78"/>
      <c r="J78"/>
      <c r="K78"/>
      <c r="L78"/>
    </row>
    <row r="79" spans="2:12" x14ac:dyDescent="0.25">
      <c r="B79"/>
      <c r="C79"/>
      <c r="D79"/>
      <c r="E79"/>
      <c r="F79"/>
      <c r="G79"/>
      <c r="H79"/>
      <c r="I79"/>
      <c r="J79"/>
      <c r="K79"/>
      <c r="L79"/>
    </row>
    <row r="80" spans="2:12" x14ac:dyDescent="0.25">
      <c r="B80"/>
      <c r="C80"/>
      <c r="D80"/>
      <c r="E80"/>
      <c r="F80"/>
      <c r="G80"/>
      <c r="H80"/>
      <c r="I80"/>
      <c r="J80"/>
      <c r="K80"/>
      <c r="L80"/>
    </row>
    <row r="81" spans="2:12" x14ac:dyDescent="0.25">
      <c r="B81"/>
      <c r="C81"/>
      <c r="D81"/>
      <c r="E81"/>
      <c r="F81"/>
      <c r="G81"/>
      <c r="H81"/>
      <c r="I81"/>
      <c r="J81"/>
      <c r="K81"/>
      <c r="L81"/>
    </row>
    <row r="82" spans="2:12" x14ac:dyDescent="0.25">
      <c r="B82"/>
      <c r="C82"/>
      <c r="D82"/>
      <c r="E82"/>
      <c r="F82"/>
      <c r="G82"/>
      <c r="H82"/>
      <c r="I82"/>
      <c r="J82"/>
      <c r="K82"/>
      <c r="L82"/>
    </row>
    <row r="83" spans="2:12" x14ac:dyDescent="0.25">
      <c r="B83"/>
      <c r="C83"/>
      <c r="D83"/>
      <c r="E83"/>
      <c r="F83"/>
      <c r="G83"/>
      <c r="H83"/>
      <c r="I83"/>
      <c r="J83"/>
      <c r="K83"/>
      <c r="L83"/>
    </row>
    <row r="84" spans="2:12" x14ac:dyDescent="0.25">
      <c r="B84"/>
      <c r="C84"/>
      <c r="D84"/>
      <c r="E84"/>
      <c r="F84"/>
      <c r="G84"/>
      <c r="H84"/>
      <c r="I84"/>
      <c r="J84"/>
      <c r="K84"/>
      <c r="L84"/>
    </row>
    <row r="85" spans="2:12" x14ac:dyDescent="0.25">
      <c r="B85"/>
      <c r="C85"/>
      <c r="D85"/>
      <c r="E85"/>
      <c r="F85"/>
      <c r="G85"/>
      <c r="H85"/>
      <c r="I85"/>
      <c r="J85"/>
      <c r="K85"/>
      <c r="L85"/>
    </row>
    <row r="86" spans="2:12" x14ac:dyDescent="0.25">
      <c r="B86"/>
      <c r="C86"/>
      <c r="D86"/>
      <c r="E86"/>
      <c r="F86"/>
      <c r="G86"/>
      <c r="H86"/>
      <c r="I86"/>
      <c r="J86"/>
      <c r="K86"/>
      <c r="L86"/>
    </row>
    <row r="87" spans="2:12" x14ac:dyDescent="0.25">
      <c r="B87"/>
      <c r="C87"/>
      <c r="D87"/>
      <c r="E87"/>
      <c r="F87"/>
      <c r="G87"/>
      <c r="H87"/>
      <c r="I87"/>
      <c r="J87"/>
      <c r="K87"/>
      <c r="L87"/>
    </row>
    <row r="88" spans="2:12" x14ac:dyDescent="0.25">
      <c r="B88"/>
      <c r="C88"/>
      <c r="D88"/>
      <c r="E88"/>
      <c r="F88"/>
      <c r="G88"/>
      <c r="H88"/>
      <c r="I88"/>
      <c r="J88"/>
      <c r="K88"/>
      <c r="L88"/>
    </row>
    <row r="89" spans="2:12" x14ac:dyDescent="0.25">
      <c r="B89"/>
      <c r="C89"/>
      <c r="D89"/>
      <c r="E89"/>
      <c r="F89"/>
      <c r="G89"/>
      <c r="H89"/>
      <c r="I89"/>
      <c r="J89"/>
      <c r="K89"/>
      <c r="L89"/>
    </row>
    <row r="90" spans="2:12" x14ac:dyDescent="0.25">
      <c r="B90"/>
      <c r="C90"/>
      <c r="D90"/>
      <c r="E90"/>
      <c r="F90"/>
      <c r="G90"/>
      <c r="H90"/>
      <c r="I90"/>
      <c r="J90"/>
      <c r="K90"/>
      <c r="L90"/>
    </row>
    <row r="91" spans="2:12" x14ac:dyDescent="0.25">
      <c r="B91"/>
      <c r="C91"/>
      <c r="D91"/>
      <c r="E91"/>
      <c r="F91"/>
      <c r="G91"/>
      <c r="H91"/>
      <c r="I91"/>
      <c r="J91"/>
      <c r="K91"/>
      <c r="L91"/>
    </row>
    <row r="92" spans="2:12" x14ac:dyDescent="0.25">
      <c r="B92"/>
      <c r="C92"/>
      <c r="D92"/>
      <c r="E92"/>
      <c r="F92"/>
      <c r="G92"/>
      <c r="H92"/>
      <c r="I92"/>
      <c r="J92"/>
      <c r="K92"/>
      <c r="L92"/>
    </row>
    <row r="93" spans="2:12" x14ac:dyDescent="0.25">
      <c r="B93"/>
      <c r="C93"/>
      <c r="D93"/>
      <c r="E93"/>
      <c r="F93"/>
      <c r="G93"/>
      <c r="H93"/>
      <c r="I93"/>
      <c r="J93"/>
      <c r="K93"/>
      <c r="L93"/>
    </row>
    <row r="94" spans="2:12" x14ac:dyDescent="0.25">
      <c r="B94"/>
      <c r="C94"/>
      <c r="D94"/>
      <c r="E94"/>
      <c r="F94"/>
      <c r="G94"/>
      <c r="H94"/>
      <c r="I94"/>
      <c r="J94"/>
      <c r="K94"/>
      <c r="L94"/>
    </row>
    <row r="95" spans="2:12" x14ac:dyDescent="0.25">
      <c r="B95"/>
      <c r="C95"/>
      <c r="D95"/>
      <c r="E95"/>
      <c r="F95"/>
      <c r="G95"/>
      <c r="H95"/>
      <c r="I95"/>
      <c r="J95"/>
      <c r="K95"/>
      <c r="L95"/>
    </row>
    <row r="96" spans="2:12" x14ac:dyDescent="0.25">
      <c r="B96"/>
      <c r="C96"/>
      <c r="D96"/>
      <c r="E96"/>
      <c r="F96"/>
      <c r="G96"/>
      <c r="H96"/>
      <c r="I96"/>
      <c r="J96"/>
      <c r="K96"/>
      <c r="L96"/>
    </row>
    <row r="97" spans="2:12" x14ac:dyDescent="0.25">
      <c r="B97"/>
      <c r="C97"/>
      <c r="D97"/>
      <c r="E97"/>
      <c r="F97"/>
      <c r="G97"/>
      <c r="H97"/>
      <c r="I97"/>
      <c r="J97"/>
      <c r="K97"/>
      <c r="L97"/>
    </row>
    <row r="98" spans="2:12" x14ac:dyDescent="0.25">
      <c r="B98"/>
      <c r="C98"/>
      <c r="D98"/>
      <c r="E98"/>
      <c r="F98"/>
      <c r="G98"/>
      <c r="H98"/>
      <c r="I98"/>
      <c r="J98"/>
      <c r="K98"/>
      <c r="L98"/>
    </row>
    <row r="99" spans="2:12" x14ac:dyDescent="0.25">
      <c r="B99"/>
      <c r="C99"/>
      <c r="D99"/>
      <c r="E99"/>
      <c r="F99"/>
      <c r="G99"/>
      <c r="H99"/>
      <c r="I99"/>
      <c r="J99"/>
      <c r="K99"/>
      <c r="L99"/>
    </row>
    <row r="100" spans="2:12" x14ac:dyDescent="0.25">
      <c r="B100"/>
      <c r="C100"/>
      <c r="D100"/>
      <c r="E100"/>
      <c r="F100"/>
      <c r="G100"/>
      <c r="H100"/>
      <c r="I100"/>
      <c r="J100"/>
      <c r="K100"/>
      <c r="L100"/>
    </row>
    <row r="101" spans="2:12" x14ac:dyDescent="0.25">
      <c r="B101"/>
      <c r="C101"/>
      <c r="D101"/>
      <c r="E101"/>
      <c r="F101"/>
      <c r="G101"/>
      <c r="H101"/>
      <c r="I101"/>
      <c r="J101"/>
      <c r="K101"/>
      <c r="L101"/>
    </row>
    <row r="102" spans="2:12" x14ac:dyDescent="0.25">
      <c r="B102"/>
      <c r="C102"/>
      <c r="D102"/>
      <c r="E102"/>
      <c r="F102"/>
      <c r="G102"/>
      <c r="H102"/>
      <c r="I102"/>
      <c r="J102"/>
      <c r="K102"/>
      <c r="L102"/>
    </row>
    <row r="103" spans="2:12" x14ac:dyDescent="0.25">
      <c r="B103"/>
      <c r="C103"/>
      <c r="D103"/>
      <c r="E103"/>
      <c r="F103"/>
      <c r="G103"/>
      <c r="H103"/>
      <c r="I103"/>
      <c r="J103"/>
      <c r="K103"/>
      <c r="L103"/>
    </row>
    <row r="104" spans="2:12" x14ac:dyDescent="0.25">
      <c r="B104"/>
      <c r="C104"/>
      <c r="D104"/>
      <c r="E104"/>
      <c r="F104"/>
      <c r="G104"/>
      <c r="H104"/>
      <c r="I104"/>
      <c r="J104"/>
      <c r="K104"/>
      <c r="L104"/>
    </row>
    <row r="105" spans="2:12" x14ac:dyDescent="0.25">
      <c r="B105"/>
      <c r="C105"/>
      <c r="D105"/>
      <c r="E105"/>
      <c r="F105"/>
      <c r="G105"/>
      <c r="H105"/>
      <c r="I105"/>
      <c r="J105"/>
      <c r="K105"/>
      <c r="L105"/>
    </row>
    <row r="106" spans="2:12" x14ac:dyDescent="0.25">
      <c r="B106"/>
      <c r="C106"/>
      <c r="D106"/>
      <c r="E106"/>
      <c r="F106"/>
      <c r="G106"/>
      <c r="H106"/>
      <c r="I106"/>
      <c r="J106"/>
      <c r="K106"/>
      <c r="L106"/>
    </row>
    <row r="107" spans="2:12" x14ac:dyDescent="0.25">
      <c r="B107"/>
      <c r="C107"/>
      <c r="D107"/>
      <c r="E107"/>
      <c r="F107"/>
      <c r="G107"/>
      <c r="H107"/>
      <c r="I107"/>
      <c r="J107"/>
      <c r="K107"/>
      <c r="L107"/>
    </row>
    <row r="108" spans="2:12" x14ac:dyDescent="0.25">
      <c r="B108"/>
      <c r="C108"/>
      <c r="D108"/>
      <c r="E108"/>
      <c r="F108"/>
      <c r="G108"/>
      <c r="H108"/>
      <c r="I108"/>
      <c r="J108"/>
      <c r="K108"/>
      <c r="L108"/>
    </row>
    <row r="109" spans="2:12" x14ac:dyDescent="0.25">
      <c r="B109"/>
      <c r="C109"/>
      <c r="D109"/>
      <c r="E109"/>
      <c r="F109"/>
      <c r="G109"/>
      <c r="H109"/>
      <c r="I109"/>
      <c r="J109"/>
      <c r="K109"/>
      <c r="L109"/>
    </row>
    <row r="110" spans="2:12" x14ac:dyDescent="0.25">
      <c r="B110"/>
      <c r="C110"/>
      <c r="D110"/>
      <c r="E110"/>
      <c r="F110"/>
      <c r="G110"/>
      <c r="H110"/>
      <c r="I110"/>
      <c r="J110"/>
      <c r="K110"/>
      <c r="L110"/>
    </row>
    <row r="111" spans="2:12" x14ac:dyDescent="0.25">
      <c r="B111"/>
      <c r="C111"/>
      <c r="D111"/>
      <c r="E111"/>
      <c r="F111"/>
      <c r="G111"/>
      <c r="H111"/>
      <c r="I111"/>
      <c r="J111"/>
      <c r="K111"/>
      <c r="L111"/>
    </row>
    <row r="112" spans="2:12" x14ac:dyDescent="0.25">
      <c r="B112"/>
      <c r="C112"/>
      <c r="D112"/>
      <c r="E112"/>
      <c r="F112"/>
      <c r="G112"/>
      <c r="H112"/>
      <c r="I112"/>
      <c r="J112"/>
      <c r="K112"/>
      <c r="L112"/>
    </row>
    <row r="113" spans="2:12" x14ac:dyDescent="0.25">
      <c r="B113"/>
      <c r="C113"/>
      <c r="D113"/>
      <c r="E113"/>
      <c r="F113"/>
      <c r="G113"/>
      <c r="H113"/>
      <c r="I113"/>
      <c r="J113"/>
      <c r="K113"/>
      <c r="L113"/>
    </row>
    <row r="114" spans="2:12" x14ac:dyDescent="0.25">
      <c r="B114"/>
      <c r="C114"/>
      <c r="D114"/>
      <c r="E114"/>
      <c r="F114"/>
      <c r="G114"/>
      <c r="H114"/>
      <c r="I114"/>
      <c r="J114"/>
      <c r="K114"/>
      <c r="L114"/>
    </row>
    <row r="115" spans="2:12" x14ac:dyDescent="0.25">
      <c r="B115"/>
      <c r="C115"/>
      <c r="D115"/>
      <c r="E115"/>
      <c r="F115"/>
      <c r="G115"/>
      <c r="H115"/>
      <c r="I115"/>
      <c r="J115"/>
      <c r="K115"/>
      <c r="L115"/>
    </row>
    <row r="116" spans="2:12" x14ac:dyDescent="0.25">
      <c r="B116"/>
      <c r="C116"/>
      <c r="D116"/>
      <c r="E116"/>
      <c r="F116"/>
      <c r="G116"/>
      <c r="H116"/>
      <c r="I116"/>
      <c r="J116"/>
      <c r="K116"/>
      <c r="L116"/>
    </row>
    <row r="117" spans="2:12" x14ac:dyDescent="0.25">
      <c r="B117"/>
      <c r="C117"/>
      <c r="D117"/>
      <c r="E117"/>
      <c r="F117"/>
      <c r="G117"/>
      <c r="H117"/>
      <c r="I117"/>
      <c r="J117"/>
      <c r="K117"/>
      <c r="L117"/>
    </row>
    <row r="118" spans="2:12" x14ac:dyDescent="0.25">
      <c r="B118"/>
      <c r="C118"/>
      <c r="D118"/>
      <c r="E118"/>
      <c r="F118"/>
      <c r="G118"/>
      <c r="H118"/>
      <c r="I118"/>
      <c r="J118"/>
      <c r="K118"/>
      <c r="L118"/>
    </row>
    <row r="119" spans="2:12" x14ac:dyDescent="0.25">
      <c r="B119"/>
      <c r="C119"/>
      <c r="D119"/>
      <c r="E119"/>
      <c r="F119"/>
      <c r="G119"/>
      <c r="H119"/>
      <c r="I119"/>
      <c r="J119"/>
      <c r="K119"/>
      <c r="L119"/>
    </row>
    <row r="120" spans="2:12" x14ac:dyDescent="0.25">
      <c r="B120"/>
      <c r="C120"/>
      <c r="D120"/>
      <c r="E120"/>
      <c r="F120"/>
      <c r="G120"/>
      <c r="H120"/>
      <c r="I120"/>
      <c r="J120"/>
      <c r="K120"/>
      <c r="L120"/>
    </row>
    <row r="121" spans="2:12" x14ac:dyDescent="0.25">
      <c r="B121"/>
      <c r="C121"/>
      <c r="D121"/>
      <c r="E121"/>
      <c r="F121"/>
      <c r="G121"/>
      <c r="H121"/>
      <c r="I121"/>
      <c r="J121"/>
      <c r="K121"/>
      <c r="L121"/>
    </row>
    <row r="122" spans="2:12" x14ac:dyDescent="0.25">
      <c r="B122"/>
      <c r="C122"/>
      <c r="D122"/>
      <c r="E122"/>
      <c r="F122"/>
      <c r="G122"/>
      <c r="H122"/>
      <c r="I122"/>
      <c r="J122"/>
      <c r="K122"/>
      <c r="L122"/>
    </row>
    <row r="123" spans="2:12" x14ac:dyDescent="0.25">
      <c r="B123"/>
      <c r="C123"/>
      <c r="D123"/>
      <c r="E123"/>
      <c r="F123"/>
      <c r="G123"/>
      <c r="H123"/>
      <c r="I123"/>
      <c r="J123"/>
      <c r="K123"/>
      <c r="L123"/>
    </row>
    <row r="124" spans="2:12" x14ac:dyDescent="0.25">
      <c r="B124"/>
      <c r="C124"/>
      <c r="D124"/>
      <c r="E124"/>
      <c r="F124"/>
      <c r="G124"/>
      <c r="H124"/>
      <c r="I124"/>
      <c r="J124"/>
      <c r="K124"/>
      <c r="L124"/>
    </row>
    <row r="125" spans="2:12" x14ac:dyDescent="0.25">
      <c r="B125"/>
      <c r="C125"/>
      <c r="D125"/>
      <c r="E125"/>
      <c r="F125"/>
      <c r="G125"/>
      <c r="H125"/>
      <c r="I125"/>
      <c r="J125"/>
      <c r="K125"/>
      <c r="L125"/>
    </row>
    <row r="126" spans="2:12" x14ac:dyDescent="0.25">
      <c r="B126"/>
      <c r="C126"/>
      <c r="D126"/>
      <c r="E126"/>
      <c r="F126"/>
      <c r="G126"/>
      <c r="H126"/>
      <c r="I126"/>
      <c r="J126"/>
      <c r="K126"/>
      <c r="L126"/>
    </row>
    <row r="127" spans="2:12" x14ac:dyDescent="0.25">
      <c r="B127"/>
      <c r="C127"/>
      <c r="D127"/>
      <c r="E127"/>
      <c r="F127"/>
      <c r="G127"/>
      <c r="H127"/>
      <c r="I127"/>
      <c r="J127"/>
      <c r="K127"/>
      <c r="L127"/>
    </row>
    <row r="128" spans="2:12" x14ac:dyDescent="0.25">
      <c r="B128"/>
      <c r="C128"/>
      <c r="D128"/>
      <c r="E128"/>
      <c r="F128"/>
      <c r="G128"/>
      <c r="H128"/>
      <c r="I128"/>
      <c r="J128"/>
      <c r="K128"/>
      <c r="L128"/>
    </row>
    <row r="129" spans="2:12" x14ac:dyDescent="0.25">
      <c r="B129"/>
      <c r="C129"/>
      <c r="D129"/>
      <c r="E129"/>
      <c r="F129"/>
      <c r="G129"/>
      <c r="H129"/>
      <c r="I129"/>
      <c r="J129"/>
      <c r="K129"/>
      <c r="L129"/>
    </row>
    <row r="130" spans="2:12" x14ac:dyDescent="0.25">
      <c r="B130"/>
      <c r="C130"/>
      <c r="D130"/>
      <c r="E130"/>
      <c r="F130"/>
      <c r="G130"/>
      <c r="H130"/>
      <c r="I130"/>
      <c r="J130"/>
      <c r="K130"/>
      <c r="L130"/>
    </row>
    <row r="131" spans="2:12" x14ac:dyDescent="0.25">
      <c r="B131"/>
      <c r="C131"/>
      <c r="D131"/>
      <c r="E131"/>
      <c r="F131"/>
      <c r="G131"/>
      <c r="H131"/>
      <c r="I131"/>
      <c r="J131"/>
      <c r="K131"/>
      <c r="L131"/>
    </row>
    <row r="132" spans="2:12" x14ac:dyDescent="0.25">
      <c r="B132"/>
      <c r="C132"/>
      <c r="D132"/>
      <c r="E132"/>
      <c r="F132"/>
      <c r="G132"/>
      <c r="H132"/>
      <c r="I132"/>
      <c r="J132"/>
      <c r="K132"/>
      <c r="L132"/>
    </row>
    <row r="133" spans="2:12" x14ac:dyDescent="0.25">
      <c r="B133"/>
      <c r="C133"/>
      <c r="D133"/>
      <c r="E133"/>
      <c r="F133"/>
      <c r="G133"/>
      <c r="H133"/>
      <c r="I133"/>
      <c r="J133"/>
      <c r="K133"/>
      <c r="L133"/>
    </row>
    <row r="134" spans="2:12" x14ac:dyDescent="0.25">
      <c r="B134"/>
      <c r="C134"/>
      <c r="D134"/>
      <c r="E134"/>
      <c r="F134"/>
      <c r="G134"/>
      <c r="H134"/>
      <c r="I134"/>
      <c r="J134"/>
      <c r="K134"/>
      <c r="L134"/>
    </row>
    <row r="135" spans="2:12" x14ac:dyDescent="0.25">
      <c r="B135"/>
      <c r="C135"/>
      <c r="D135"/>
      <c r="E135"/>
      <c r="F135"/>
      <c r="G135"/>
      <c r="H135"/>
      <c r="I135"/>
      <c r="J135"/>
      <c r="K135"/>
      <c r="L135"/>
    </row>
    <row r="136" spans="2:12" x14ac:dyDescent="0.25">
      <c r="B136"/>
      <c r="C136"/>
      <c r="D136"/>
      <c r="E136"/>
      <c r="F136"/>
      <c r="G136"/>
      <c r="H136"/>
      <c r="I136"/>
      <c r="J136"/>
      <c r="K136"/>
      <c r="L136"/>
    </row>
    <row r="137" spans="2:12" x14ac:dyDescent="0.25">
      <c r="B137"/>
      <c r="C137"/>
      <c r="D137"/>
      <c r="E137"/>
      <c r="F137"/>
      <c r="G137"/>
      <c r="H137"/>
      <c r="I137"/>
      <c r="J137"/>
      <c r="K137"/>
      <c r="L137"/>
    </row>
    <row r="138" spans="2:12" x14ac:dyDescent="0.25">
      <c r="B138"/>
      <c r="C138"/>
      <c r="D138"/>
      <c r="E138"/>
      <c r="F138"/>
      <c r="G138"/>
      <c r="H138"/>
      <c r="I138"/>
      <c r="J138"/>
      <c r="K138"/>
      <c r="L138"/>
    </row>
    <row r="139" spans="2:12" x14ac:dyDescent="0.25">
      <c r="B139"/>
      <c r="C139"/>
      <c r="D139"/>
      <c r="E139"/>
      <c r="F139"/>
      <c r="G139"/>
      <c r="H139"/>
      <c r="I139"/>
      <c r="J139"/>
      <c r="K139"/>
      <c r="L139"/>
    </row>
    <row r="140" spans="2:12" x14ac:dyDescent="0.25">
      <c r="B140"/>
      <c r="C140"/>
      <c r="D140"/>
      <c r="E140"/>
      <c r="F140"/>
      <c r="G140"/>
      <c r="H140"/>
      <c r="I140"/>
      <c r="J140"/>
      <c r="K140"/>
      <c r="L140"/>
    </row>
    <row r="141" spans="2:12" x14ac:dyDescent="0.25">
      <c r="B141"/>
      <c r="C141"/>
      <c r="D141"/>
      <c r="E141"/>
      <c r="F141"/>
      <c r="G141"/>
      <c r="H141"/>
      <c r="I141"/>
      <c r="J141"/>
      <c r="K141"/>
      <c r="L141"/>
    </row>
    <row r="142" spans="2:12" x14ac:dyDescent="0.25">
      <c r="B142"/>
      <c r="C142"/>
      <c r="D142"/>
      <c r="E142"/>
      <c r="F142"/>
      <c r="G142"/>
      <c r="H142"/>
      <c r="I142"/>
      <c r="J142"/>
      <c r="K142"/>
      <c r="L142"/>
    </row>
    <row r="143" spans="2:12" x14ac:dyDescent="0.25">
      <c r="B143"/>
      <c r="C143"/>
      <c r="D143"/>
      <c r="E143"/>
      <c r="F143"/>
      <c r="G143"/>
      <c r="H143"/>
      <c r="I143"/>
      <c r="J143"/>
      <c r="K143"/>
      <c r="L143"/>
    </row>
    <row r="144" spans="2:12" x14ac:dyDescent="0.25">
      <c r="B144"/>
      <c r="C144"/>
      <c r="D144"/>
      <c r="E144"/>
      <c r="F144"/>
      <c r="G144"/>
      <c r="H144"/>
      <c r="I144"/>
      <c r="J144"/>
      <c r="K144"/>
      <c r="L144"/>
    </row>
    <row r="145" spans="2:12" x14ac:dyDescent="0.25">
      <c r="B145"/>
      <c r="C145"/>
      <c r="D145"/>
      <c r="E145"/>
      <c r="F145"/>
      <c r="G145"/>
      <c r="H145"/>
      <c r="I145"/>
      <c r="J145"/>
      <c r="K145"/>
      <c r="L145"/>
    </row>
    <row r="146" spans="2:12" x14ac:dyDescent="0.25">
      <c r="B146"/>
      <c r="C146"/>
      <c r="D146"/>
      <c r="E146"/>
      <c r="F146"/>
      <c r="G146"/>
      <c r="H146"/>
      <c r="I146"/>
      <c r="J146"/>
      <c r="K146"/>
      <c r="L146"/>
    </row>
    <row r="147" spans="2:12" x14ac:dyDescent="0.25">
      <c r="B147"/>
      <c r="C147"/>
      <c r="D147"/>
      <c r="E147"/>
      <c r="F147"/>
      <c r="G147"/>
      <c r="H147"/>
      <c r="I147"/>
      <c r="J147"/>
      <c r="K147"/>
      <c r="L147"/>
    </row>
    <row r="148" spans="2:12" x14ac:dyDescent="0.25">
      <c r="B148"/>
      <c r="C148"/>
      <c r="D148"/>
      <c r="E148"/>
      <c r="F148"/>
      <c r="G148"/>
      <c r="H148"/>
      <c r="I148"/>
      <c r="J148"/>
      <c r="K148"/>
      <c r="L148"/>
    </row>
    <row r="149" spans="2:12" x14ac:dyDescent="0.25">
      <c r="B149"/>
      <c r="C149"/>
      <c r="D149"/>
      <c r="E149"/>
      <c r="F149"/>
      <c r="G149"/>
      <c r="H149"/>
      <c r="I149"/>
      <c r="J149"/>
      <c r="K149"/>
      <c r="L149"/>
    </row>
    <row r="150" spans="2:12" x14ac:dyDescent="0.25">
      <c r="B150"/>
      <c r="C150"/>
      <c r="D150"/>
      <c r="E150"/>
      <c r="F150"/>
      <c r="G150"/>
      <c r="H150"/>
      <c r="I150"/>
      <c r="J150"/>
      <c r="K150"/>
      <c r="L150"/>
    </row>
    <row r="151" spans="2:12" x14ac:dyDescent="0.25">
      <c r="B151"/>
      <c r="C151"/>
      <c r="D151"/>
      <c r="E151"/>
      <c r="F151"/>
      <c r="G151"/>
      <c r="H151"/>
      <c r="I151"/>
      <c r="J151"/>
      <c r="K151"/>
      <c r="L151"/>
    </row>
    <row r="152" spans="2:12" x14ac:dyDescent="0.25">
      <c r="B152"/>
      <c r="C152"/>
      <c r="D152"/>
      <c r="E152"/>
      <c r="F152"/>
      <c r="G152"/>
      <c r="H152"/>
      <c r="I152"/>
      <c r="J152"/>
      <c r="K152"/>
      <c r="L152"/>
    </row>
    <row r="153" spans="2:12" x14ac:dyDescent="0.25">
      <c r="B153"/>
      <c r="C153"/>
      <c r="D153"/>
      <c r="E153"/>
      <c r="F153"/>
      <c r="G153"/>
      <c r="H153"/>
      <c r="I153"/>
      <c r="J153"/>
      <c r="K153"/>
      <c r="L153"/>
    </row>
    <row r="154" spans="2:12" x14ac:dyDescent="0.25">
      <c r="B154"/>
      <c r="C154"/>
      <c r="D154"/>
      <c r="E154"/>
      <c r="F154"/>
      <c r="G154"/>
      <c r="H154"/>
      <c r="I154"/>
      <c r="J154"/>
      <c r="K154"/>
      <c r="L154"/>
    </row>
    <row r="155" spans="2:12" x14ac:dyDescent="0.25">
      <c r="B155"/>
      <c r="C155"/>
      <c r="D155"/>
      <c r="E155"/>
      <c r="F155"/>
      <c r="G155"/>
      <c r="H155"/>
      <c r="I155"/>
      <c r="J155"/>
      <c r="K155"/>
      <c r="L155"/>
    </row>
    <row r="156" spans="2:12" x14ac:dyDescent="0.25">
      <c r="B156"/>
      <c r="C156"/>
      <c r="D156"/>
      <c r="E156"/>
      <c r="F156"/>
      <c r="G156"/>
      <c r="H156"/>
      <c r="I156"/>
      <c r="J156"/>
      <c r="K156"/>
      <c r="L156"/>
    </row>
    <row r="157" spans="2:12" x14ac:dyDescent="0.25">
      <c r="B157"/>
      <c r="C157"/>
      <c r="D157"/>
      <c r="E157"/>
      <c r="F157"/>
      <c r="G157"/>
      <c r="H157"/>
      <c r="I157"/>
      <c r="J157"/>
      <c r="K157"/>
      <c r="L157"/>
    </row>
    <row r="158" spans="2:12" x14ac:dyDescent="0.25">
      <c r="B158"/>
      <c r="C158"/>
      <c r="D158"/>
      <c r="E158"/>
      <c r="F158"/>
      <c r="G158"/>
      <c r="H158"/>
      <c r="I158"/>
      <c r="J158"/>
      <c r="K158"/>
      <c r="L158"/>
    </row>
    <row r="159" spans="2:12" x14ac:dyDescent="0.25">
      <c r="B159"/>
      <c r="C159"/>
      <c r="D159"/>
      <c r="E159"/>
      <c r="F159"/>
      <c r="G159"/>
      <c r="H159"/>
      <c r="I159"/>
      <c r="J159"/>
      <c r="K159"/>
      <c r="L159"/>
    </row>
    <row r="160" spans="2:12" x14ac:dyDescent="0.25">
      <c r="B160"/>
      <c r="C160"/>
      <c r="D160"/>
      <c r="E160"/>
      <c r="F160"/>
      <c r="G160"/>
      <c r="H160"/>
      <c r="I160"/>
      <c r="J160"/>
      <c r="K160"/>
      <c r="L160"/>
    </row>
    <row r="161" spans="2:12" x14ac:dyDescent="0.25">
      <c r="B161"/>
      <c r="C161"/>
      <c r="D161"/>
      <c r="E161"/>
      <c r="F161"/>
      <c r="G161"/>
      <c r="H161"/>
      <c r="I161"/>
      <c r="J161"/>
      <c r="K161"/>
      <c r="L161"/>
    </row>
    <row r="162" spans="2:12" x14ac:dyDescent="0.25">
      <c r="B162"/>
      <c r="C162"/>
      <c r="D162"/>
      <c r="E162"/>
      <c r="F162"/>
      <c r="G162"/>
      <c r="H162"/>
      <c r="I162"/>
      <c r="J162"/>
      <c r="K162"/>
      <c r="L162"/>
    </row>
    <row r="163" spans="2:12" x14ac:dyDescent="0.25">
      <c r="B163"/>
      <c r="C163"/>
      <c r="D163"/>
      <c r="E163"/>
      <c r="F163"/>
      <c r="G163"/>
      <c r="H163"/>
      <c r="I163"/>
      <c r="J163"/>
      <c r="K163"/>
      <c r="L163"/>
    </row>
    <row r="164" spans="2:12" x14ac:dyDescent="0.25">
      <c r="B164"/>
      <c r="C164"/>
      <c r="D164"/>
      <c r="E164"/>
      <c r="F164"/>
      <c r="G164"/>
      <c r="H164"/>
      <c r="I164"/>
      <c r="J164"/>
      <c r="K164"/>
      <c r="L164"/>
    </row>
    <row r="165" spans="2:12" x14ac:dyDescent="0.25">
      <c r="B165"/>
      <c r="C165"/>
      <c r="D165"/>
      <c r="E165"/>
      <c r="F165"/>
      <c r="G165"/>
      <c r="H165"/>
      <c r="I165"/>
      <c r="J165"/>
      <c r="K165"/>
      <c r="L165"/>
    </row>
    <row r="166" spans="2:12" x14ac:dyDescent="0.25">
      <c r="B166"/>
      <c r="C166"/>
      <c r="D166"/>
      <c r="E166"/>
      <c r="F166"/>
      <c r="G166"/>
      <c r="H166"/>
      <c r="I166"/>
      <c r="J166"/>
      <c r="K166"/>
      <c r="L166"/>
    </row>
    <row r="167" spans="2:12" x14ac:dyDescent="0.25">
      <c r="B167"/>
      <c r="C167"/>
      <c r="D167"/>
      <c r="E167"/>
      <c r="F167"/>
      <c r="G167"/>
      <c r="H167"/>
      <c r="I167"/>
      <c r="J167"/>
      <c r="K167"/>
      <c r="L167"/>
    </row>
    <row r="168" spans="2:12" x14ac:dyDescent="0.25">
      <c r="B168"/>
      <c r="C168"/>
      <c r="D168"/>
      <c r="E168"/>
      <c r="F168"/>
      <c r="G168"/>
      <c r="H168"/>
      <c r="I168"/>
      <c r="J168"/>
      <c r="K168"/>
      <c r="L168"/>
    </row>
    <row r="169" spans="2:12" x14ac:dyDescent="0.25">
      <c r="B169"/>
      <c r="C169"/>
      <c r="D169"/>
      <c r="E169"/>
      <c r="F169"/>
      <c r="G169"/>
      <c r="H169"/>
      <c r="I169"/>
      <c r="J169"/>
      <c r="K169"/>
      <c r="L169"/>
    </row>
    <row r="170" spans="2:12" x14ac:dyDescent="0.25">
      <c r="B170"/>
      <c r="C170"/>
      <c r="D170"/>
      <c r="E170"/>
      <c r="F170"/>
      <c r="G170"/>
      <c r="H170"/>
      <c r="I170"/>
      <c r="J170"/>
      <c r="K170"/>
      <c r="L170"/>
    </row>
    <row r="171" spans="2:12" x14ac:dyDescent="0.25">
      <c r="B171"/>
      <c r="C171"/>
      <c r="D171"/>
      <c r="E171"/>
      <c r="F171"/>
      <c r="G171"/>
      <c r="H171"/>
      <c r="I171"/>
      <c r="J171"/>
      <c r="K171"/>
      <c r="L171"/>
    </row>
    <row r="172" spans="2:12" x14ac:dyDescent="0.25">
      <c r="B172"/>
      <c r="C172"/>
      <c r="D172"/>
      <c r="E172"/>
      <c r="F172"/>
      <c r="G172"/>
      <c r="H172"/>
      <c r="I172"/>
      <c r="J172"/>
      <c r="K172"/>
      <c r="L172"/>
    </row>
    <row r="173" spans="2:12" x14ac:dyDescent="0.25">
      <c r="B173"/>
      <c r="C173"/>
      <c r="D173"/>
      <c r="E173"/>
      <c r="F173"/>
      <c r="G173"/>
      <c r="H173"/>
      <c r="I173"/>
      <c r="J173"/>
      <c r="K173"/>
      <c r="L173"/>
    </row>
    <row r="174" spans="2:12" x14ac:dyDescent="0.25">
      <c r="B174"/>
      <c r="C174"/>
      <c r="D174"/>
      <c r="E174"/>
      <c r="F174"/>
      <c r="G174"/>
      <c r="H174"/>
      <c r="I174"/>
      <c r="J174"/>
      <c r="K174"/>
      <c r="L174"/>
    </row>
    <row r="175" spans="2:12" x14ac:dyDescent="0.25">
      <c r="B175"/>
      <c r="C175"/>
      <c r="D175"/>
      <c r="E175"/>
      <c r="F175"/>
      <c r="G175"/>
      <c r="H175"/>
      <c r="I175"/>
      <c r="J175"/>
      <c r="K175"/>
      <c r="L175"/>
    </row>
    <row r="176" spans="2:12" x14ac:dyDescent="0.25">
      <c r="B176"/>
      <c r="C176"/>
      <c r="D176"/>
      <c r="E176"/>
      <c r="F176"/>
      <c r="G176"/>
      <c r="H176"/>
      <c r="I176"/>
      <c r="J176"/>
      <c r="K176"/>
      <c r="L176"/>
    </row>
    <row r="177" spans="2:12" x14ac:dyDescent="0.25">
      <c r="B177"/>
      <c r="C177"/>
      <c r="D177"/>
      <c r="E177"/>
      <c r="F177"/>
      <c r="G177"/>
      <c r="H177"/>
      <c r="I177"/>
      <c r="J177"/>
      <c r="K177"/>
      <c r="L177"/>
    </row>
    <row r="178" spans="2:12" x14ac:dyDescent="0.25">
      <c r="B178"/>
      <c r="C178"/>
      <c r="D178"/>
      <c r="E178"/>
      <c r="F178"/>
      <c r="G178"/>
      <c r="H178"/>
      <c r="I178"/>
      <c r="J178"/>
      <c r="K178"/>
      <c r="L178"/>
    </row>
    <row r="179" spans="2:12" x14ac:dyDescent="0.25">
      <c r="B179"/>
      <c r="C179"/>
      <c r="D179"/>
      <c r="E179"/>
      <c r="F179"/>
      <c r="G179"/>
      <c r="H179"/>
      <c r="I179"/>
      <c r="J179"/>
      <c r="K179"/>
      <c r="L179"/>
    </row>
    <row r="180" spans="2:12" x14ac:dyDescent="0.25">
      <c r="B180"/>
      <c r="C180"/>
      <c r="D180"/>
      <c r="E180"/>
      <c r="F180"/>
      <c r="G180"/>
      <c r="H180"/>
      <c r="I180"/>
      <c r="J180"/>
      <c r="K180"/>
      <c r="L180"/>
    </row>
    <row r="181" spans="2:12" x14ac:dyDescent="0.25">
      <c r="B181"/>
      <c r="C181"/>
      <c r="D181"/>
      <c r="E181"/>
      <c r="F181"/>
      <c r="G181"/>
      <c r="H181"/>
      <c r="I181"/>
      <c r="J181"/>
      <c r="K181"/>
      <c r="L181"/>
    </row>
    <row r="182" spans="2:12" x14ac:dyDescent="0.25">
      <c r="B182"/>
      <c r="C182"/>
      <c r="D182"/>
      <c r="E182"/>
      <c r="F182"/>
      <c r="G182"/>
      <c r="H182"/>
      <c r="I182"/>
      <c r="J182"/>
      <c r="K182"/>
      <c r="L182"/>
    </row>
    <row r="183" spans="2:12" x14ac:dyDescent="0.25">
      <c r="B183"/>
      <c r="C183"/>
      <c r="D183"/>
      <c r="E183"/>
      <c r="F183"/>
      <c r="G183"/>
      <c r="H183"/>
      <c r="I183"/>
      <c r="J183"/>
      <c r="K183"/>
      <c r="L183"/>
    </row>
    <row r="184" spans="2:12" x14ac:dyDescent="0.25">
      <c r="B184"/>
      <c r="C184"/>
      <c r="D184"/>
      <c r="E184"/>
      <c r="F184"/>
      <c r="G184"/>
      <c r="H184"/>
      <c r="I184"/>
      <c r="J184"/>
      <c r="K184"/>
      <c r="L184"/>
    </row>
    <row r="185" spans="2:12" x14ac:dyDescent="0.25">
      <c r="B185"/>
      <c r="C185"/>
      <c r="D185"/>
      <c r="E185"/>
      <c r="F185"/>
      <c r="G185"/>
      <c r="H185"/>
      <c r="I185"/>
      <c r="J185"/>
      <c r="K185"/>
      <c r="L185"/>
    </row>
    <row r="186" spans="2:12" x14ac:dyDescent="0.25">
      <c r="B186"/>
      <c r="C186"/>
      <c r="D186"/>
      <c r="E186"/>
      <c r="F186"/>
      <c r="G186"/>
      <c r="H186"/>
      <c r="I186"/>
      <c r="J186"/>
      <c r="K186"/>
      <c r="L186"/>
    </row>
    <row r="187" spans="2:12" x14ac:dyDescent="0.25">
      <c r="B187"/>
      <c r="C187"/>
      <c r="D187"/>
      <c r="E187"/>
      <c r="F187"/>
      <c r="G187"/>
      <c r="H187"/>
      <c r="I187"/>
      <c r="J187"/>
      <c r="K187"/>
      <c r="L187"/>
    </row>
    <row r="188" spans="2:12" x14ac:dyDescent="0.25">
      <c r="B188"/>
      <c r="C188"/>
      <c r="D188"/>
      <c r="E188"/>
      <c r="F188"/>
      <c r="G188"/>
      <c r="H188"/>
      <c r="I188"/>
      <c r="J188"/>
      <c r="K188"/>
      <c r="L188"/>
    </row>
    <row r="189" spans="2:12" x14ac:dyDescent="0.25">
      <c r="B189"/>
      <c r="C189"/>
      <c r="D189"/>
      <c r="E189"/>
      <c r="F189"/>
      <c r="G189"/>
      <c r="H189"/>
      <c r="I189"/>
      <c r="J189"/>
      <c r="K189"/>
      <c r="L189"/>
    </row>
    <row r="190" spans="2:12" x14ac:dyDescent="0.25">
      <c r="B190"/>
      <c r="C190"/>
      <c r="D190"/>
      <c r="E190"/>
      <c r="F190"/>
      <c r="G190"/>
      <c r="H190"/>
      <c r="I190"/>
      <c r="J190"/>
      <c r="K190"/>
      <c r="L190"/>
    </row>
    <row r="191" spans="2:12" x14ac:dyDescent="0.25">
      <c r="B191"/>
      <c r="C191"/>
      <c r="D191"/>
      <c r="E191"/>
      <c r="F191"/>
      <c r="G191"/>
      <c r="H191"/>
      <c r="I191"/>
      <c r="J191"/>
      <c r="K191"/>
      <c r="L191"/>
    </row>
    <row r="192" spans="2:12" x14ac:dyDescent="0.25">
      <c r="B192"/>
      <c r="C192"/>
      <c r="D192"/>
      <c r="E192"/>
      <c r="F192"/>
      <c r="G192"/>
      <c r="H192"/>
      <c r="I192"/>
      <c r="J192"/>
      <c r="K192"/>
      <c r="L192"/>
    </row>
    <row r="193" spans="2:12" x14ac:dyDescent="0.25">
      <c r="B193"/>
      <c r="C193"/>
      <c r="D193"/>
      <c r="E193"/>
      <c r="F193"/>
      <c r="G193"/>
      <c r="H193"/>
      <c r="I193"/>
      <c r="J193"/>
      <c r="K193"/>
      <c r="L193"/>
    </row>
    <row r="194" spans="2:12" x14ac:dyDescent="0.25">
      <c r="B194"/>
      <c r="C194"/>
      <c r="D194"/>
      <c r="E194"/>
      <c r="F194"/>
      <c r="G194"/>
      <c r="H194"/>
      <c r="I194"/>
      <c r="J194"/>
      <c r="K194"/>
      <c r="L194"/>
    </row>
    <row r="195" spans="2:12" x14ac:dyDescent="0.25">
      <c r="B195"/>
      <c r="C195"/>
      <c r="D195"/>
      <c r="E195"/>
      <c r="F195"/>
      <c r="G195"/>
      <c r="H195"/>
      <c r="I195"/>
      <c r="J195"/>
      <c r="K195"/>
      <c r="L195"/>
    </row>
    <row r="196" spans="2:12" x14ac:dyDescent="0.25">
      <c r="B196"/>
      <c r="C196"/>
      <c r="D196"/>
      <c r="E196"/>
      <c r="F196"/>
      <c r="G196"/>
      <c r="H196"/>
      <c r="I196"/>
      <c r="J196"/>
      <c r="K196"/>
      <c r="L196"/>
    </row>
    <row r="197" spans="2:12" x14ac:dyDescent="0.25">
      <c r="B197"/>
      <c r="C197"/>
      <c r="D197"/>
      <c r="E197"/>
      <c r="F197"/>
      <c r="G197"/>
      <c r="H197"/>
      <c r="I197"/>
      <c r="J197"/>
      <c r="K197"/>
      <c r="L197"/>
    </row>
    <row r="198" spans="2:12" x14ac:dyDescent="0.25">
      <c r="B198"/>
      <c r="C198"/>
      <c r="D198"/>
      <c r="E198"/>
      <c r="F198"/>
      <c r="G198"/>
      <c r="H198"/>
      <c r="I198"/>
      <c r="J198"/>
      <c r="K198"/>
      <c r="L198"/>
    </row>
    <row r="199" spans="2:12" x14ac:dyDescent="0.25">
      <c r="B199"/>
      <c r="C199"/>
      <c r="D199"/>
      <c r="E199"/>
      <c r="F199"/>
      <c r="G199"/>
      <c r="H199"/>
      <c r="I199"/>
      <c r="J199"/>
      <c r="K199"/>
      <c r="L199"/>
    </row>
    <row r="200" spans="2:12" x14ac:dyDescent="0.25">
      <c r="B200"/>
      <c r="C200"/>
      <c r="D200"/>
      <c r="E200"/>
      <c r="F200"/>
      <c r="G200"/>
      <c r="H200"/>
      <c r="I200"/>
      <c r="J200"/>
      <c r="K200"/>
      <c r="L200"/>
    </row>
    <row r="201" spans="2:12" x14ac:dyDescent="0.25">
      <c r="B201"/>
      <c r="C201"/>
      <c r="D201"/>
      <c r="E201"/>
      <c r="F201"/>
      <c r="G201"/>
      <c r="H201"/>
      <c r="I201"/>
      <c r="J201"/>
      <c r="K201"/>
      <c r="L201"/>
    </row>
    <row r="202" spans="2:12" x14ac:dyDescent="0.25">
      <c r="B202"/>
      <c r="C202"/>
      <c r="D202"/>
      <c r="E202"/>
      <c r="F202"/>
      <c r="G202"/>
      <c r="H202"/>
      <c r="I202"/>
      <c r="J202"/>
      <c r="K202"/>
      <c r="L202"/>
    </row>
    <row r="203" spans="2:12" x14ac:dyDescent="0.25">
      <c r="B203"/>
      <c r="C203"/>
      <c r="D203"/>
      <c r="E203"/>
      <c r="F203"/>
      <c r="G203"/>
      <c r="H203"/>
      <c r="I203"/>
      <c r="J203"/>
      <c r="K203"/>
      <c r="L203"/>
    </row>
    <row r="204" spans="2:12" x14ac:dyDescent="0.25">
      <c r="B204"/>
      <c r="C204"/>
      <c r="D204"/>
      <c r="E204"/>
      <c r="F204"/>
      <c r="G204"/>
      <c r="H204"/>
      <c r="I204"/>
      <c r="J204"/>
      <c r="K204"/>
      <c r="L204"/>
    </row>
    <row r="205" spans="2:12" x14ac:dyDescent="0.25">
      <c r="B205"/>
      <c r="C205"/>
      <c r="D205"/>
      <c r="E205"/>
      <c r="F205"/>
      <c r="G205"/>
      <c r="H205"/>
      <c r="I205"/>
      <c r="J205"/>
      <c r="K205"/>
      <c r="L205"/>
    </row>
    <row r="206" spans="2:12" x14ac:dyDescent="0.25">
      <c r="B206"/>
      <c r="C206"/>
      <c r="D206"/>
      <c r="E206"/>
      <c r="F206"/>
      <c r="G206"/>
      <c r="H206"/>
      <c r="I206"/>
      <c r="J206"/>
      <c r="K206"/>
      <c r="L206"/>
    </row>
    <row r="207" spans="2:12" x14ac:dyDescent="0.25">
      <c r="B207"/>
      <c r="C207"/>
      <c r="D207"/>
      <c r="E207"/>
      <c r="F207"/>
      <c r="G207"/>
      <c r="H207"/>
      <c r="I207"/>
      <c r="J207"/>
      <c r="K207"/>
      <c r="L207"/>
    </row>
    <row r="208" spans="2:12" x14ac:dyDescent="0.25">
      <c r="B208"/>
      <c r="C208"/>
      <c r="D208"/>
      <c r="E208"/>
      <c r="F208"/>
      <c r="G208"/>
      <c r="H208"/>
      <c r="I208"/>
      <c r="J208"/>
      <c r="K208"/>
      <c r="L208"/>
    </row>
    <row r="209" spans="2:12" x14ac:dyDescent="0.25">
      <c r="B209"/>
      <c r="C209"/>
      <c r="D209"/>
      <c r="E209"/>
      <c r="F209"/>
      <c r="G209"/>
      <c r="H209"/>
      <c r="I209"/>
      <c r="J209"/>
      <c r="K209"/>
      <c r="L209"/>
    </row>
    <row r="210" spans="2:12" x14ac:dyDescent="0.25">
      <c r="B210"/>
      <c r="C210"/>
      <c r="D210"/>
      <c r="E210"/>
      <c r="F210"/>
      <c r="G210"/>
      <c r="H210"/>
      <c r="I210"/>
      <c r="J210"/>
      <c r="K210"/>
      <c r="L210"/>
    </row>
    <row r="211" spans="2:12" x14ac:dyDescent="0.25">
      <c r="B211"/>
      <c r="C211"/>
      <c r="D211"/>
      <c r="E211"/>
      <c r="F211"/>
      <c r="G211"/>
      <c r="H211"/>
      <c r="I211"/>
      <c r="J211"/>
      <c r="K211"/>
      <c r="L211"/>
    </row>
    <row r="212" spans="2:12" x14ac:dyDescent="0.25">
      <c r="B212"/>
      <c r="C212"/>
      <c r="D212"/>
      <c r="E212"/>
      <c r="F212"/>
      <c r="G212"/>
      <c r="H212"/>
      <c r="I212"/>
      <c r="J212"/>
      <c r="K212"/>
      <c r="L212"/>
    </row>
    <row r="213" spans="2:12" x14ac:dyDescent="0.25">
      <c r="B213"/>
      <c r="C213"/>
      <c r="D213"/>
      <c r="E213"/>
      <c r="F213"/>
      <c r="G213"/>
      <c r="H213"/>
      <c r="I213"/>
      <c r="J213"/>
      <c r="K213"/>
      <c r="L213"/>
    </row>
    <row r="214" spans="2:12" x14ac:dyDescent="0.25">
      <c r="B214"/>
      <c r="C214"/>
      <c r="D214"/>
      <c r="E214"/>
      <c r="F214"/>
      <c r="G214"/>
      <c r="H214"/>
      <c r="I214"/>
      <c r="J214"/>
      <c r="K214"/>
      <c r="L214"/>
    </row>
    <row r="215" spans="2:12" x14ac:dyDescent="0.25">
      <c r="B215"/>
      <c r="C215"/>
      <c r="D215"/>
      <c r="E215"/>
      <c r="F215"/>
      <c r="G215"/>
      <c r="H215"/>
      <c r="I215"/>
      <c r="J215"/>
      <c r="K215"/>
      <c r="L215"/>
    </row>
    <row r="216" spans="2:12" x14ac:dyDescent="0.25">
      <c r="B216"/>
      <c r="C216"/>
      <c r="D216"/>
      <c r="E216"/>
      <c r="F216"/>
      <c r="G216"/>
      <c r="H216"/>
      <c r="I216"/>
      <c r="J216"/>
      <c r="K216"/>
      <c r="L216"/>
    </row>
    <row r="217" spans="2:12" x14ac:dyDescent="0.25">
      <c r="B217"/>
      <c r="C217"/>
      <c r="D217"/>
      <c r="E217"/>
      <c r="F217"/>
      <c r="G217"/>
      <c r="H217"/>
      <c r="I217"/>
      <c r="J217"/>
      <c r="K217"/>
      <c r="L217"/>
    </row>
    <row r="218" spans="2:12" x14ac:dyDescent="0.25">
      <c r="B218"/>
      <c r="C218"/>
      <c r="D218"/>
      <c r="E218"/>
      <c r="F218"/>
      <c r="G218"/>
      <c r="H218"/>
      <c r="I218"/>
      <c r="J218"/>
      <c r="K218"/>
      <c r="L218"/>
    </row>
    <row r="219" spans="2:12" x14ac:dyDescent="0.25">
      <c r="B219"/>
      <c r="C219"/>
      <c r="D219"/>
      <c r="E219"/>
      <c r="F219"/>
      <c r="G219"/>
      <c r="H219"/>
      <c r="I219"/>
      <c r="J219"/>
      <c r="K219"/>
      <c r="L219"/>
    </row>
    <row r="220" spans="2:12" x14ac:dyDescent="0.25">
      <c r="B220"/>
      <c r="C220"/>
      <c r="D220"/>
      <c r="E220"/>
      <c r="F220"/>
      <c r="G220"/>
      <c r="H220"/>
      <c r="I220"/>
      <c r="J220"/>
      <c r="K220"/>
      <c r="L220"/>
    </row>
    <row r="221" spans="2:12" x14ac:dyDescent="0.25">
      <c r="B221"/>
      <c r="C221"/>
      <c r="D221"/>
      <c r="E221"/>
      <c r="F221"/>
      <c r="G221"/>
      <c r="H221"/>
      <c r="I221"/>
      <c r="J221"/>
      <c r="K221"/>
      <c r="L221"/>
    </row>
    <row r="222" spans="2:12" x14ac:dyDescent="0.25">
      <c r="B222"/>
      <c r="C222"/>
      <c r="D222"/>
      <c r="E222"/>
      <c r="F222"/>
      <c r="G222"/>
      <c r="H222"/>
      <c r="I222"/>
      <c r="J222"/>
      <c r="K222"/>
      <c r="L222"/>
    </row>
    <row r="223" spans="2:12" x14ac:dyDescent="0.25">
      <c r="B223"/>
      <c r="C223"/>
      <c r="D223"/>
      <c r="E223"/>
      <c r="F223"/>
      <c r="G223"/>
      <c r="H223"/>
      <c r="I223"/>
      <c r="J223"/>
      <c r="K223"/>
      <c r="L223"/>
    </row>
    <row r="224" spans="2:12" x14ac:dyDescent="0.25">
      <c r="B224"/>
      <c r="C224"/>
      <c r="D224"/>
      <c r="E224"/>
      <c r="F224"/>
      <c r="G224"/>
      <c r="H224"/>
      <c r="I224"/>
      <c r="J224"/>
      <c r="K224"/>
      <c r="L224"/>
    </row>
    <row r="225" spans="2:12" x14ac:dyDescent="0.25">
      <c r="B225"/>
      <c r="C225"/>
      <c r="D225"/>
      <c r="E225"/>
      <c r="F225"/>
      <c r="G225"/>
      <c r="H225"/>
      <c r="I225"/>
      <c r="J225"/>
      <c r="K225"/>
      <c r="L225"/>
    </row>
    <row r="226" spans="2:12" x14ac:dyDescent="0.25">
      <c r="B226"/>
      <c r="C226"/>
      <c r="D226"/>
      <c r="E226"/>
      <c r="F226"/>
      <c r="G226"/>
      <c r="H226"/>
      <c r="I226"/>
      <c r="J226"/>
      <c r="K226"/>
      <c r="L226"/>
    </row>
    <row r="227" spans="2:12" x14ac:dyDescent="0.25">
      <c r="B227"/>
      <c r="C227"/>
      <c r="D227"/>
      <c r="E227"/>
      <c r="F227"/>
      <c r="G227"/>
      <c r="H227"/>
      <c r="I227"/>
      <c r="J227"/>
      <c r="K227"/>
      <c r="L227"/>
    </row>
    <row r="228" spans="2:12" x14ac:dyDescent="0.25">
      <c r="B228"/>
      <c r="C228"/>
      <c r="D228"/>
      <c r="E228"/>
      <c r="F228"/>
      <c r="G228"/>
      <c r="H228"/>
      <c r="I228"/>
      <c r="J228"/>
      <c r="K228"/>
      <c r="L228"/>
    </row>
    <row r="229" spans="2:12" x14ac:dyDescent="0.25">
      <c r="B229"/>
      <c r="C229"/>
      <c r="D229"/>
      <c r="E229"/>
      <c r="F229"/>
      <c r="G229"/>
      <c r="H229"/>
      <c r="I229"/>
      <c r="J229"/>
      <c r="K229"/>
      <c r="L229"/>
    </row>
    <row r="230" spans="2:12" x14ac:dyDescent="0.25">
      <c r="B230"/>
      <c r="C230"/>
      <c r="D230"/>
      <c r="E230"/>
      <c r="F230"/>
      <c r="G230"/>
      <c r="H230"/>
      <c r="I230"/>
      <c r="J230"/>
      <c r="K230"/>
      <c r="L230"/>
    </row>
    <row r="231" spans="2:12" x14ac:dyDescent="0.25">
      <c r="B231"/>
      <c r="C231"/>
      <c r="D231"/>
      <c r="E231"/>
      <c r="F231"/>
      <c r="G231"/>
      <c r="H231"/>
      <c r="I231"/>
      <c r="J231"/>
      <c r="K231"/>
      <c r="L231"/>
    </row>
    <row r="232" spans="2:12" x14ac:dyDescent="0.25">
      <c r="B232"/>
      <c r="C232"/>
      <c r="D232"/>
      <c r="E232"/>
      <c r="F232"/>
      <c r="G232"/>
      <c r="H232"/>
      <c r="I232"/>
      <c r="J232"/>
      <c r="K232"/>
      <c r="L232"/>
    </row>
    <row r="233" spans="2:12" x14ac:dyDescent="0.25">
      <c r="B233"/>
      <c r="C233"/>
      <c r="D233"/>
      <c r="E233"/>
      <c r="F233"/>
      <c r="G233"/>
      <c r="H233"/>
      <c r="I233"/>
      <c r="J233"/>
      <c r="K233"/>
      <c r="L233"/>
    </row>
    <row r="234" spans="2:12" x14ac:dyDescent="0.25">
      <c r="B234"/>
      <c r="C234"/>
      <c r="D234"/>
      <c r="E234"/>
      <c r="F234"/>
      <c r="G234"/>
      <c r="H234"/>
      <c r="I234"/>
      <c r="J234"/>
      <c r="K234"/>
      <c r="L234"/>
    </row>
    <row r="235" spans="2:12" x14ac:dyDescent="0.25">
      <c r="B235"/>
      <c r="C235"/>
      <c r="D235"/>
      <c r="E235"/>
      <c r="F235"/>
      <c r="G235"/>
      <c r="H235"/>
      <c r="I235"/>
      <c r="J235"/>
      <c r="K235"/>
      <c r="L235"/>
    </row>
    <row r="236" spans="2:12" x14ac:dyDescent="0.25">
      <c r="B236"/>
      <c r="C236"/>
      <c r="D236"/>
      <c r="E236"/>
      <c r="F236"/>
      <c r="G236"/>
      <c r="H236"/>
      <c r="I236"/>
      <c r="J236"/>
      <c r="K236"/>
      <c r="L236"/>
    </row>
    <row r="237" spans="2:12" x14ac:dyDescent="0.25">
      <c r="B237"/>
      <c r="C237"/>
      <c r="D237"/>
      <c r="E237"/>
      <c r="F237"/>
      <c r="G237"/>
      <c r="H237"/>
      <c r="I237"/>
      <c r="J237"/>
      <c r="K237"/>
      <c r="L237"/>
    </row>
    <row r="238" spans="2:12" x14ac:dyDescent="0.25">
      <c r="B238"/>
      <c r="C238"/>
      <c r="D238"/>
      <c r="E238"/>
      <c r="F238"/>
      <c r="G238"/>
      <c r="H238"/>
      <c r="I238"/>
      <c r="J238"/>
      <c r="K238"/>
      <c r="L238"/>
    </row>
    <row r="239" spans="2:12" x14ac:dyDescent="0.25">
      <c r="B239"/>
      <c r="C239"/>
      <c r="D239"/>
      <c r="E239"/>
      <c r="F239"/>
      <c r="G239"/>
      <c r="H239"/>
      <c r="I239"/>
      <c r="J239"/>
      <c r="K239"/>
      <c r="L239"/>
    </row>
    <row r="240" spans="2:12" x14ac:dyDescent="0.25">
      <c r="B240"/>
      <c r="C240"/>
      <c r="D240"/>
      <c r="E240"/>
      <c r="F240"/>
      <c r="G240"/>
      <c r="H240"/>
      <c r="I240"/>
      <c r="J240"/>
      <c r="K240"/>
      <c r="L240"/>
    </row>
    <row r="241" spans="2:12" x14ac:dyDescent="0.25">
      <c r="B241"/>
      <c r="C241"/>
      <c r="D241"/>
      <c r="E241"/>
      <c r="F241"/>
      <c r="G241"/>
      <c r="H241"/>
      <c r="I241"/>
      <c r="J241"/>
      <c r="K241"/>
      <c r="L241"/>
    </row>
    <row r="242" spans="2:12" x14ac:dyDescent="0.25">
      <c r="B242"/>
      <c r="C242"/>
      <c r="D242"/>
      <c r="E242"/>
      <c r="F242"/>
      <c r="G242"/>
      <c r="H242"/>
      <c r="I242"/>
      <c r="J242"/>
      <c r="K242"/>
      <c r="L242"/>
    </row>
    <row r="243" spans="2:12" x14ac:dyDescent="0.25">
      <c r="B243"/>
      <c r="C243"/>
      <c r="D243"/>
      <c r="E243"/>
      <c r="F243"/>
      <c r="G243"/>
      <c r="H243"/>
      <c r="I243"/>
      <c r="J243"/>
      <c r="K243"/>
      <c r="L243"/>
    </row>
    <row r="244" spans="2:12" x14ac:dyDescent="0.25">
      <c r="B244"/>
      <c r="C244"/>
      <c r="D244"/>
      <c r="E244"/>
      <c r="F244"/>
      <c r="G244"/>
      <c r="H244"/>
      <c r="I244"/>
      <c r="J244"/>
      <c r="K244"/>
      <c r="L244"/>
    </row>
    <row r="245" spans="2:12" x14ac:dyDescent="0.25">
      <c r="B245"/>
      <c r="C245"/>
      <c r="D245"/>
      <c r="E245"/>
      <c r="F245"/>
      <c r="G245"/>
      <c r="H245"/>
      <c r="I245"/>
      <c r="J245"/>
      <c r="K245"/>
      <c r="L245"/>
    </row>
    <row r="246" spans="2:12" x14ac:dyDescent="0.25">
      <c r="B246"/>
      <c r="C246"/>
      <c r="D246"/>
      <c r="E246"/>
      <c r="F246"/>
      <c r="G246"/>
      <c r="H246"/>
      <c r="I246"/>
      <c r="J246"/>
      <c r="K246"/>
      <c r="L246"/>
    </row>
    <row r="247" spans="2:12" x14ac:dyDescent="0.25">
      <c r="B247"/>
      <c r="C247"/>
      <c r="D247"/>
      <c r="E247"/>
      <c r="F247"/>
      <c r="G247"/>
      <c r="H247"/>
      <c r="I247"/>
      <c r="J247"/>
      <c r="K247"/>
      <c r="L247"/>
    </row>
    <row r="248" spans="2:12" x14ac:dyDescent="0.25">
      <c r="B248"/>
      <c r="C248"/>
      <c r="D248"/>
      <c r="E248"/>
      <c r="F248"/>
      <c r="G248"/>
      <c r="H248"/>
      <c r="I248"/>
      <c r="J248"/>
      <c r="K248"/>
      <c r="L248"/>
    </row>
    <row r="249" spans="2:12" x14ac:dyDescent="0.25">
      <c r="B249"/>
      <c r="C249"/>
      <c r="D249"/>
      <c r="E249"/>
      <c r="F249"/>
      <c r="G249"/>
      <c r="H249"/>
      <c r="I249"/>
      <c r="J249"/>
      <c r="K249"/>
      <c r="L249"/>
    </row>
    <row r="250" spans="2:12" x14ac:dyDescent="0.25">
      <c r="B250"/>
      <c r="C250"/>
      <c r="D250"/>
      <c r="E250"/>
      <c r="F250"/>
      <c r="G250"/>
      <c r="H250"/>
      <c r="I250"/>
      <c r="J250"/>
      <c r="K250"/>
      <c r="L250"/>
    </row>
    <row r="251" spans="2:12" x14ac:dyDescent="0.25">
      <c r="B251"/>
      <c r="C251"/>
      <c r="D251"/>
      <c r="E251"/>
      <c r="F251"/>
      <c r="G251"/>
      <c r="H251"/>
      <c r="I251"/>
      <c r="J251"/>
      <c r="K251"/>
      <c r="L251"/>
    </row>
    <row r="252" spans="2:12" x14ac:dyDescent="0.25">
      <c r="B252"/>
      <c r="C252"/>
      <c r="D252"/>
      <c r="E252"/>
      <c r="F252"/>
      <c r="G252"/>
      <c r="H252"/>
      <c r="I252"/>
      <c r="J252"/>
      <c r="K252"/>
      <c r="L252"/>
    </row>
    <row r="253" spans="2:12" x14ac:dyDescent="0.25">
      <c r="B253"/>
      <c r="C253"/>
      <c r="D253"/>
      <c r="E253"/>
      <c r="F253"/>
      <c r="G253"/>
      <c r="H253"/>
      <c r="I253"/>
      <c r="J253"/>
      <c r="K253"/>
      <c r="L253"/>
    </row>
    <row r="254" spans="2:12" x14ac:dyDescent="0.25">
      <c r="B254"/>
      <c r="C254"/>
      <c r="D254"/>
      <c r="E254"/>
      <c r="F254"/>
      <c r="G254"/>
      <c r="H254"/>
      <c r="I254"/>
      <c r="J254"/>
      <c r="K254"/>
      <c r="L254"/>
    </row>
    <row r="255" spans="2:12" x14ac:dyDescent="0.25">
      <c r="B255"/>
      <c r="C255"/>
      <c r="D255"/>
      <c r="E255"/>
      <c r="F255"/>
      <c r="G255"/>
      <c r="H255"/>
      <c r="I255"/>
      <c r="J255"/>
      <c r="K255"/>
      <c r="L255"/>
    </row>
    <row r="256" spans="2:12" x14ac:dyDescent="0.25">
      <c r="B256"/>
      <c r="C256"/>
      <c r="D256"/>
      <c r="E256"/>
      <c r="F256"/>
      <c r="G256"/>
      <c r="H256"/>
      <c r="I256"/>
      <c r="J256"/>
      <c r="K256"/>
      <c r="L256"/>
    </row>
    <row r="257" spans="2:12" x14ac:dyDescent="0.25">
      <c r="B257"/>
      <c r="C257"/>
      <c r="D257"/>
      <c r="E257"/>
      <c r="F257"/>
      <c r="G257"/>
      <c r="H257"/>
      <c r="I257"/>
      <c r="J257"/>
      <c r="K257"/>
      <c r="L257"/>
    </row>
    <row r="258" spans="2:12" x14ac:dyDescent="0.25">
      <c r="B258"/>
      <c r="C258"/>
      <c r="D258"/>
      <c r="E258"/>
      <c r="F258"/>
      <c r="G258"/>
      <c r="H258"/>
      <c r="I258"/>
      <c r="J258"/>
      <c r="K258"/>
      <c r="L258"/>
    </row>
    <row r="259" spans="2:12" x14ac:dyDescent="0.25">
      <c r="B259"/>
      <c r="C259"/>
      <c r="D259"/>
      <c r="E259"/>
      <c r="F259"/>
      <c r="G259"/>
      <c r="H259"/>
      <c r="I259"/>
      <c r="J259"/>
      <c r="K259"/>
      <c r="L259"/>
    </row>
    <row r="260" spans="2:12" x14ac:dyDescent="0.25">
      <c r="B260"/>
      <c r="C260"/>
      <c r="D260"/>
      <c r="E260"/>
      <c r="F260"/>
      <c r="G260"/>
      <c r="H260"/>
      <c r="I260"/>
      <c r="J260"/>
      <c r="K260"/>
      <c r="L260"/>
    </row>
    <row r="261" spans="2:12" x14ac:dyDescent="0.25">
      <c r="B261"/>
      <c r="C261"/>
      <c r="D261"/>
      <c r="E261"/>
      <c r="F261"/>
      <c r="G261"/>
      <c r="H261"/>
      <c r="I261"/>
      <c r="J261"/>
      <c r="K261"/>
      <c r="L261"/>
    </row>
    <row r="262" spans="2:12" x14ac:dyDescent="0.25">
      <c r="B262"/>
      <c r="C262"/>
      <c r="D262"/>
      <c r="E262"/>
      <c r="F262"/>
      <c r="G262"/>
      <c r="H262"/>
      <c r="I262"/>
      <c r="J262"/>
      <c r="K262"/>
      <c r="L262"/>
    </row>
    <row r="263" spans="2:12" x14ac:dyDescent="0.25">
      <c r="B263"/>
      <c r="C263"/>
      <c r="D263"/>
      <c r="E263"/>
      <c r="F263"/>
      <c r="G263"/>
      <c r="H263"/>
      <c r="I263"/>
      <c r="J263"/>
      <c r="K263"/>
      <c r="L263"/>
    </row>
    <row r="264" spans="2:12" x14ac:dyDescent="0.25">
      <c r="B264"/>
      <c r="C264"/>
      <c r="D264"/>
      <c r="E264"/>
      <c r="F264"/>
      <c r="G264"/>
      <c r="H264"/>
      <c r="I264"/>
      <c r="J264"/>
      <c r="K264"/>
      <c r="L264"/>
    </row>
    <row r="265" spans="2:12" x14ac:dyDescent="0.25">
      <c r="B265"/>
      <c r="C265"/>
      <c r="D265"/>
      <c r="E265"/>
      <c r="F265"/>
      <c r="G265"/>
      <c r="H265"/>
      <c r="I265"/>
      <c r="J265"/>
      <c r="K265"/>
      <c r="L265"/>
    </row>
    <row r="266" spans="2:12" x14ac:dyDescent="0.25">
      <c r="B266"/>
      <c r="C266"/>
      <c r="D266"/>
      <c r="E266"/>
      <c r="F266"/>
      <c r="G266"/>
      <c r="H266"/>
      <c r="I266"/>
      <c r="J266"/>
      <c r="K266"/>
      <c r="L266"/>
    </row>
    <row r="267" spans="2:12" x14ac:dyDescent="0.25">
      <c r="B267"/>
      <c r="C267"/>
      <c r="D267"/>
      <c r="E267"/>
      <c r="F267"/>
      <c r="G267"/>
      <c r="H267"/>
      <c r="I267"/>
      <c r="J267"/>
      <c r="K267"/>
      <c r="L267"/>
    </row>
    <row r="268" spans="2:12" x14ac:dyDescent="0.25">
      <c r="B268"/>
      <c r="C268"/>
      <c r="D268"/>
      <c r="E268"/>
      <c r="F268"/>
      <c r="G268"/>
      <c r="H268"/>
      <c r="I268"/>
      <c r="J268"/>
      <c r="K268"/>
      <c r="L268"/>
    </row>
    <row r="269" spans="2:12" x14ac:dyDescent="0.25">
      <c r="B269"/>
      <c r="C269"/>
      <c r="D269"/>
      <c r="E269"/>
      <c r="F269"/>
      <c r="G269"/>
      <c r="H269"/>
      <c r="I269"/>
      <c r="J269"/>
      <c r="K269"/>
      <c r="L269"/>
    </row>
    <row r="270" spans="2:12" x14ac:dyDescent="0.25">
      <c r="B270"/>
      <c r="C270"/>
      <c r="D270"/>
      <c r="E270"/>
      <c r="F270"/>
      <c r="G270"/>
      <c r="H270"/>
      <c r="I270"/>
      <c r="J270"/>
      <c r="K270"/>
      <c r="L270"/>
    </row>
    <row r="271" spans="2:12" x14ac:dyDescent="0.25">
      <c r="B271"/>
      <c r="C271"/>
      <c r="D271"/>
      <c r="E271"/>
      <c r="F271"/>
      <c r="G271"/>
      <c r="H271"/>
      <c r="I271"/>
      <c r="J271"/>
      <c r="K271"/>
      <c r="L271"/>
    </row>
    <row r="272" spans="2:12" x14ac:dyDescent="0.25">
      <c r="B272"/>
      <c r="C272"/>
      <c r="D272"/>
      <c r="E272"/>
      <c r="F272"/>
      <c r="G272"/>
      <c r="H272"/>
      <c r="I272"/>
      <c r="J272"/>
      <c r="K272"/>
      <c r="L272"/>
    </row>
    <row r="273" spans="2:12" x14ac:dyDescent="0.25">
      <c r="B273"/>
      <c r="C273"/>
      <c r="D273"/>
      <c r="E273"/>
      <c r="F273"/>
      <c r="G273"/>
      <c r="H273"/>
      <c r="I273"/>
      <c r="J273"/>
      <c r="K273"/>
      <c r="L273"/>
    </row>
    <row r="274" spans="2:12" x14ac:dyDescent="0.25">
      <c r="B274"/>
      <c r="C274"/>
      <c r="D274"/>
      <c r="E274"/>
      <c r="F274"/>
      <c r="G274"/>
      <c r="H274"/>
      <c r="I274"/>
      <c r="J274"/>
      <c r="K274"/>
      <c r="L274"/>
    </row>
    <row r="275" spans="2:12" x14ac:dyDescent="0.25">
      <c r="B275"/>
      <c r="C275"/>
      <c r="D275"/>
      <c r="E275"/>
      <c r="F275"/>
      <c r="G275"/>
      <c r="H275"/>
      <c r="I275"/>
      <c r="J275"/>
      <c r="K275"/>
      <c r="L275"/>
    </row>
    <row r="276" spans="2:12" x14ac:dyDescent="0.25">
      <c r="B276"/>
      <c r="C276"/>
      <c r="D276"/>
      <c r="E276"/>
      <c r="F276"/>
      <c r="G276"/>
      <c r="H276"/>
      <c r="I276"/>
      <c r="J276"/>
      <c r="K276"/>
      <c r="L276"/>
    </row>
    <row r="277" spans="2:12" x14ac:dyDescent="0.25">
      <c r="B277"/>
      <c r="C277"/>
      <c r="D277"/>
      <c r="E277"/>
      <c r="F277"/>
      <c r="G277"/>
      <c r="H277"/>
      <c r="I277"/>
      <c r="J277"/>
      <c r="K277"/>
      <c r="L277"/>
    </row>
    <row r="278" spans="2:12" x14ac:dyDescent="0.25">
      <c r="B278"/>
      <c r="C278"/>
      <c r="D278"/>
      <c r="E278"/>
      <c r="F278"/>
      <c r="G278"/>
      <c r="H278"/>
      <c r="I278"/>
      <c r="J278"/>
      <c r="K278"/>
      <c r="L278"/>
    </row>
    <row r="279" spans="2:12" x14ac:dyDescent="0.25">
      <c r="B279"/>
      <c r="C279"/>
      <c r="D279"/>
      <c r="E279"/>
      <c r="F279"/>
      <c r="G279"/>
      <c r="H279"/>
      <c r="I279"/>
      <c r="J279"/>
      <c r="K279"/>
      <c r="L279"/>
    </row>
    <row r="280" spans="2:12" x14ac:dyDescent="0.25">
      <c r="B280"/>
      <c r="C280"/>
      <c r="D280"/>
      <c r="E280"/>
      <c r="F280"/>
      <c r="G280"/>
      <c r="H280"/>
      <c r="I280"/>
      <c r="J280"/>
      <c r="K280"/>
      <c r="L280"/>
    </row>
    <row r="281" spans="2:12" x14ac:dyDescent="0.25">
      <c r="B281"/>
      <c r="C281"/>
      <c r="D281"/>
      <c r="E281"/>
      <c r="F281"/>
      <c r="G281"/>
      <c r="H281"/>
      <c r="I281"/>
      <c r="J281"/>
      <c r="K281"/>
      <c r="L281"/>
    </row>
    <row r="282" spans="2:12" x14ac:dyDescent="0.25">
      <c r="B282"/>
      <c r="C282"/>
      <c r="D282"/>
      <c r="E282"/>
      <c r="F282"/>
      <c r="G282"/>
      <c r="H282"/>
      <c r="I282"/>
      <c r="J282"/>
      <c r="K282"/>
      <c r="L282"/>
    </row>
    <row r="283" spans="2:12" x14ac:dyDescent="0.25">
      <c r="B283"/>
      <c r="C283"/>
      <c r="D283"/>
      <c r="E283"/>
      <c r="F283"/>
      <c r="G283"/>
      <c r="H283"/>
      <c r="I283"/>
      <c r="J283"/>
      <c r="K283"/>
      <c r="L283"/>
    </row>
    <row r="284" spans="2:12" x14ac:dyDescent="0.25">
      <c r="B284"/>
      <c r="C284"/>
      <c r="D284"/>
      <c r="E284"/>
      <c r="F284"/>
      <c r="G284"/>
      <c r="H284"/>
      <c r="I284"/>
      <c r="J284"/>
      <c r="K284"/>
      <c r="L284"/>
    </row>
    <row r="285" spans="2:12" x14ac:dyDescent="0.25">
      <c r="B285"/>
      <c r="C285"/>
      <c r="D285"/>
      <c r="E285"/>
      <c r="F285"/>
      <c r="G285"/>
      <c r="H285"/>
      <c r="I285"/>
      <c r="J285"/>
      <c r="K285"/>
      <c r="L285"/>
    </row>
    <row r="286" spans="2:12" x14ac:dyDescent="0.25">
      <c r="B286"/>
      <c r="C286"/>
      <c r="D286"/>
      <c r="E286"/>
      <c r="F286"/>
      <c r="G286"/>
      <c r="H286"/>
      <c r="I286"/>
      <c r="J286"/>
      <c r="K286"/>
      <c r="L286"/>
    </row>
    <row r="287" spans="2:12" x14ac:dyDescent="0.25">
      <c r="B287"/>
      <c r="C287"/>
      <c r="D287"/>
      <c r="E287"/>
      <c r="F287"/>
      <c r="G287"/>
      <c r="H287"/>
      <c r="I287"/>
      <c r="J287"/>
      <c r="K287"/>
      <c r="L287"/>
    </row>
    <row r="288" spans="2:12" x14ac:dyDescent="0.25">
      <c r="B288"/>
      <c r="C288"/>
      <c r="D288"/>
      <c r="E288"/>
      <c r="F288"/>
      <c r="G288"/>
      <c r="H288"/>
      <c r="I288"/>
      <c r="J288"/>
      <c r="K288"/>
      <c r="L288"/>
    </row>
    <row r="289" spans="2:12" x14ac:dyDescent="0.25">
      <c r="B289"/>
      <c r="C289"/>
      <c r="D289"/>
      <c r="E289"/>
      <c r="F289"/>
      <c r="G289"/>
      <c r="H289"/>
      <c r="I289"/>
      <c r="J289"/>
      <c r="K289"/>
      <c r="L289"/>
    </row>
    <row r="290" spans="2:12" x14ac:dyDescent="0.25">
      <c r="B290"/>
      <c r="C290"/>
      <c r="D290"/>
      <c r="E290"/>
      <c r="F290"/>
      <c r="G290"/>
      <c r="H290"/>
      <c r="I290"/>
      <c r="J290"/>
      <c r="K290"/>
      <c r="L290"/>
    </row>
    <row r="291" spans="2:12" x14ac:dyDescent="0.25">
      <c r="B291"/>
      <c r="C291"/>
      <c r="D291"/>
      <c r="E291"/>
      <c r="F291"/>
      <c r="G291"/>
      <c r="H291"/>
      <c r="I291"/>
      <c r="J291"/>
      <c r="K291"/>
      <c r="L291"/>
    </row>
    <row r="292" spans="2:12" x14ac:dyDescent="0.25">
      <c r="B292"/>
      <c r="C292"/>
      <c r="D292"/>
      <c r="E292"/>
      <c r="F292"/>
      <c r="G292"/>
      <c r="H292"/>
      <c r="I292"/>
      <c r="J292"/>
      <c r="K292"/>
      <c r="L292"/>
    </row>
    <row r="293" spans="2:12" x14ac:dyDescent="0.25">
      <c r="B293"/>
      <c r="C293"/>
      <c r="D293"/>
      <c r="E293"/>
      <c r="F293"/>
      <c r="G293"/>
      <c r="H293"/>
      <c r="I293"/>
      <c r="J293"/>
      <c r="K293"/>
      <c r="L293"/>
    </row>
    <row r="294" spans="2:12" x14ac:dyDescent="0.25">
      <c r="B294"/>
      <c r="C294"/>
      <c r="D294"/>
      <c r="E294"/>
      <c r="F294"/>
      <c r="G294"/>
      <c r="H294"/>
      <c r="I294"/>
      <c r="J294"/>
      <c r="K294"/>
      <c r="L294"/>
    </row>
    <row r="295" spans="2:12" x14ac:dyDescent="0.25">
      <c r="B295"/>
      <c r="C295"/>
      <c r="D295"/>
      <c r="E295"/>
      <c r="F295"/>
      <c r="G295"/>
      <c r="H295"/>
      <c r="I295"/>
      <c r="J295"/>
      <c r="K295"/>
      <c r="L295"/>
    </row>
    <row r="296" spans="2:12" x14ac:dyDescent="0.25">
      <c r="B296"/>
      <c r="C296"/>
      <c r="D296"/>
      <c r="E296"/>
      <c r="F296"/>
      <c r="G296"/>
      <c r="H296"/>
      <c r="I296"/>
      <c r="J296"/>
      <c r="K296"/>
      <c r="L296"/>
    </row>
    <row r="297" spans="2:12" x14ac:dyDescent="0.25">
      <c r="B297"/>
      <c r="C297"/>
      <c r="D297"/>
      <c r="E297"/>
      <c r="F297"/>
      <c r="G297"/>
      <c r="H297"/>
      <c r="I297"/>
      <c r="J297"/>
      <c r="K297"/>
      <c r="L297"/>
    </row>
    <row r="298" spans="2:12" x14ac:dyDescent="0.25">
      <c r="B298"/>
      <c r="C298"/>
      <c r="D298"/>
      <c r="E298"/>
      <c r="F298"/>
      <c r="G298"/>
      <c r="H298"/>
      <c r="I298"/>
      <c r="J298"/>
      <c r="K298"/>
      <c r="L298"/>
    </row>
    <row r="299" spans="2:12" x14ac:dyDescent="0.25">
      <c r="B299"/>
      <c r="C299"/>
      <c r="D299"/>
      <c r="E299"/>
      <c r="F299"/>
      <c r="G299"/>
      <c r="H299"/>
      <c r="I299"/>
      <c r="J299"/>
      <c r="K299"/>
      <c r="L299"/>
    </row>
    <row r="300" spans="2:12" x14ac:dyDescent="0.25">
      <c r="B300"/>
      <c r="C300"/>
      <c r="D300"/>
      <c r="E300"/>
      <c r="F300"/>
      <c r="G300"/>
      <c r="H300"/>
      <c r="I300"/>
      <c r="J300"/>
      <c r="K300"/>
      <c r="L300"/>
    </row>
    <row r="301" spans="2:12" x14ac:dyDescent="0.25">
      <c r="B301"/>
      <c r="C301"/>
      <c r="D301"/>
      <c r="E301"/>
      <c r="F301"/>
      <c r="G301"/>
      <c r="H301"/>
      <c r="I301"/>
      <c r="J301"/>
      <c r="K301"/>
      <c r="L301"/>
    </row>
    <row r="302" spans="2:12" x14ac:dyDescent="0.25">
      <c r="B302"/>
      <c r="C302"/>
      <c r="D302"/>
      <c r="E302"/>
      <c r="F302"/>
      <c r="G302"/>
      <c r="H302"/>
      <c r="I302"/>
      <c r="J302"/>
      <c r="K302"/>
      <c r="L302"/>
    </row>
    <row r="303" spans="2:12" x14ac:dyDescent="0.25">
      <c r="B303"/>
      <c r="C303"/>
      <c r="D303"/>
      <c r="E303"/>
      <c r="F303"/>
      <c r="G303"/>
      <c r="H303"/>
      <c r="I303"/>
      <c r="J303"/>
      <c r="K303"/>
      <c r="L303"/>
    </row>
    <row r="304" spans="2:12" x14ac:dyDescent="0.25">
      <c r="B304"/>
      <c r="C304"/>
      <c r="D304"/>
      <c r="E304"/>
      <c r="F304"/>
      <c r="G304"/>
      <c r="H304"/>
      <c r="I304"/>
      <c r="J304"/>
      <c r="K304"/>
      <c r="L304"/>
    </row>
    <row r="305" spans="2:12" x14ac:dyDescent="0.25">
      <c r="B305"/>
      <c r="C305"/>
      <c r="D305"/>
      <c r="E305"/>
      <c r="F305"/>
      <c r="G305"/>
      <c r="H305"/>
      <c r="I305"/>
      <c r="J305"/>
      <c r="K305"/>
      <c r="L305"/>
    </row>
    <row r="306" spans="2:12" x14ac:dyDescent="0.25">
      <c r="B306"/>
      <c r="C306"/>
      <c r="D306"/>
      <c r="E306"/>
      <c r="F306"/>
      <c r="G306"/>
      <c r="H306"/>
      <c r="I306"/>
      <c r="J306"/>
      <c r="K306"/>
      <c r="L306"/>
    </row>
    <row r="307" spans="2:12" x14ac:dyDescent="0.25">
      <c r="B307"/>
      <c r="C307"/>
      <c r="D307"/>
      <c r="E307"/>
      <c r="F307"/>
      <c r="G307"/>
      <c r="H307"/>
      <c r="I307"/>
      <c r="J307"/>
      <c r="K307"/>
      <c r="L307"/>
    </row>
    <row r="308" spans="2:12" x14ac:dyDescent="0.25">
      <c r="B308"/>
      <c r="C308"/>
      <c r="D308"/>
      <c r="E308"/>
      <c r="F308"/>
      <c r="G308"/>
      <c r="H308"/>
      <c r="I308"/>
      <c r="J308"/>
      <c r="K308"/>
      <c r="L308"/>
    </row>
    <row r="309" spans="2:12" x14ac:dyDescent="0.25">
      <c r="B309"/>
      <c r="C309"/>
      <c r="D309"/>
      <c r="E309"/>
      <c r="F309"/>
      <c r="G309"/>
      <c r="H309"/>
      <c r="I309"/>
      <c r="J309"/>
      <c r="K309"/>
      <c r="L309"/>
    </row>
    <row r="310" spans="2:12" x14ac:dyDescent="0.25">
      <c r="B310"/>
      <c r="C310"/>
      <c r="D310"/>
      <c r="E310"/>
      <c r="F310"/>
      <c r="G310"/>
      <c r="H310"/>
      <c r="I310"/>
      <c r="J310"/>
      <c r="K310"/>
      <c r="L310"/>
    </row>
    <row r="311" spans="2:12" x14ac:dyDescent="0.25">
      <c r="B311"/>
      <c r="C311"/>
      <c r="D311"/>
      <c r="E311"/>
      <c r="F311"/>
      <c r="G311"/>
      <c r="H311"/>
      <c r="I311"/>
      <c r="J311"/>
      <c r="K311"/>
      <c r="L311"/>
    </row>
    <row r="312" spans="2:12" x14ac:dyDescent="0.25">
      <c r="B312"/>
      <c r="C312"/>
      <c r="D312"/>
      <c r="E312"/>
      <c r="F312"/>
      <c r="G312"/>
      <c r="H312"/>
      <c r="I312"/>
      <c r="J312"/>
      <c r="K312"/>
      <c r="L312"/>
    </row>
    <row r="313" spans="2:12" x14ac:dyDescent="0.25">
      <c r="B313"/>
      <c r="C313"/>
      <c r="D313"/>
      <c r="E313"/>
      <c r="F313"/>
      <c r="G313"/>
      <c r="H313"/>
      <c r="I313"/>
      <c r="J313"/>
      <c r="K313"/>
      <c r="L313"/>
    </row>
    <row r="314" spans="2:12" x14ac:dyDescent="0.25">
      <c r="B314"/>
      <c r="C314"/>
      <c r="D314"/>
      <c r="E314"/>
      <c r="F314"/>
      <c r="G314"/>
      <c r="H314"/>
      <c r="I314"/>
      <c r="J314"/>
      <c r="K314"/>
      <c r="L314"/>
    </row>
    <row r="315" spans="2:12" x14ac:dyDescent="0.25">
      <c r="B315"/>
      <c r="C315"/>
      <c r="D315"/>
      <c r="E315"/>
      <c r="F315"/>
      <c r="G315"/>
      <c r="H315"/>
      <c r="I315"/>
      <c r="J315"/>
      <c r="K315"/>
      <c r="L315"/>
    </row>
    <row r="316" spans="2:12" x14ac:dyDescent="0.25">
      <c r="B316"/>
      <c r="C316"/>
      <c r="D316"/>
      <c r="E316"/>
      <c r="F316"/>
      <c r="G316"/>
      <c r="H316"/>
      <c r="I316"/>
      <c r="J316"/>
      <c r="K316"/>
      <c r="L316"/>
    </row>
    <row r="317" spans="2:12" x14ac:dyDescent="0.25">
      <c r="B317"/>
      <c r="C317"/>
      <c r="D317"/>
      <c r="E317"/>
      <c r="F317"/>
      <c r="G317"/>
      <c r="H317"/>
      <c r="I317"/>
      <c r="J317"/>
      <c r="K317"/>
      <c r="L317"/>
    </row>
    <row r="318" spans="2:12" x14ac:dyDescent="0.25">
      <c r="B318"/>
      <c r="C318"/>
      <c r="D318"/>
      <c r="E318"/>
      <c r="F318"/>
      <c r="G318"/>
      <c r="H318"/>
      <c r="I318"/>
      <c r="J318"/>
      <c r="K318"/>
      <c r="L318"/>
    </row>
    <row r="319" spans="2:12" x14ac:dyDescent="0.25">
      <c r="B319"/>
      <c r="C319"/>
      <c r="D319"/>
      <c r="E319"/>
      <c r="F319"/>
      <c r="G319"/>
      <c r="H319"/>
      <c r="I319"/>
      <c r="J319"/>
      <c r="K319"/>
      <c r="L319"/>
    </row>
    <row r="320" spans="2:12" x14ac:dyDescent="0.25">
      <c r="B320"/>
      <c r="C320"/>
      <c r="D320"/>
      <c r="E320"/>
      <c r="F320"/>
      <c r="G320"/>
      <c r="H320"/>
      <c r="I320"/>
      <c r="J320"/>
      <c r="K320"/>
      <c r="L320"/>
    </row>
    <row r="321" spans="2:12" x14ac:dyDescent="0.25">
      <c r="B321"/>
      <c r="C321"/>
      <c r="D321"/>
      <c r="E321"/>
      <c r="F321"/>
      <c r="G321"/>
      <c r="H321"/>
      <c r="I321"/>
      <c r="J321"/>
      <c r="K321"/>
      <c r="L321"/>
    </row>
    <row r="322" spans="2:12" x14ac:dyDescent="0.25">
      <c r="B322"/>
      <c r="C322"/>
      <c r="D322"/>
      <c r="E322"/>
      <c r="F322"/>
      <c r="G322"/>
      <c r="H322"/>
      <c r="I322"/>
      <c r="J322"/>
      <c r="K322"/>
      <c r="L322"/>
    </row>
    <row r="323" spans="2:12" x14ac:dyDescent="0.25">
      <c r="B323"/>
      <c r="C323"/>
      <c r="D323"/>
      <c r="E323"/>
      <c r="F323"/>
      <c r="G323"/>
      <c r="H323"/>
      <c r="I323"/>
      <c r="J323"/>
      <c r="K323"/>
      <c r="L323"/>
    </row>
    <row r="324" spans="2:12" x14ac:dyDescent="0.25">
      <c r="B324"/>
      <c r="C324"/>
      <c r="D324"/>
      <c r="E324"/>
      <c r="F324"/>
      <c r="G324"/>
      <c r="H324"/>
      <c r="I324"/>
      <c r="J324"/>
      <c r="K324"/>
      <c r="L324"/>
    </row>
    <row r="325" spans="2:12" x14ac:dyDescent="0.25">
      <c r="B325"/>
      <c r="C325"/>
      <c r="D325"/>
      <c r="E325"/>
      <c r="F325"/>
      <c r="G325"/>
      <c r="H325"/>
      <c r="I325"/>
      <c r="J325"/>
      <c r="K325"/>
      <c r="L325"/>
    </row>
    <row r="326" spans="2:12" x14ac:dyDescent="0.25">
      <c r="B326"/>
      <c r="C326"/>
      <c r="D326"/>
      <c r="E326"/>
      <c r="F326"/>
      <c r="G326"/>
      <c r="H326"/>
      <c r="I326"/>
      <c r="J326"/>
      <c r="K326"/>
      <c r="L326"/>
    </row>
    <row r="327" spans="2:12" x14ac:dyDescent="0.25">
      <c r="B327"/>
      <c r="C327"/>
      <c r="D327"/>
      <c r="E327"/>
      <c r="F327"/>
      <c r="G327"/>
      <c r="H327"/>
      <c r="I327"/>
      <c r="J327"/>
      <c r="K327"/>
      <c r="L327"/>
    </row>
    <row r="328" spans="2:12" x14ac:dyDescent="0.25">
      <c r="B328"/>
      <c r="C328"/>
      <c r="D328"/>
      <c r="E328"/>
      <c r="F328"/>
      <c r="G328"/>
      <c r="H328"/>
      <c r="I328"/>
      <c r="J328"/>
      <c r="K328"/>
      <c r="L328"/>
    </row>
    <row r="329" spans="2:12" x14ac:dyDescent="0.25">
      <c r="B329"/>
      <c r="C329"/>
      <c r="D329"/>
      <c r="E329"/>
      <c r="F329"/>
      <c r="G329"/>
      <c r="H329"/>
      <c r="I329"/>
      <c r="J329"/>
      <c r="K329"/>
      <c r="L329"/>
    </row>
    <row r="330" spans="2:12" x14ac:dyDescent="0.25">
      <c r="B330"/>
      <c r="C330"/>
      <c r="D330"/>
      <c r="E330"/>
      <c r="F330"/>
      <c r="G330"/>
      <c r="H330"/>
      <c r="I330"/>
      <c r="J330"/>
      <c r="K330"/>
      <c r="L330"/>
    </row>
    <row r="331" spans="2:12" x14ac:dyDescent="0.25">
      <c r="B331"/>
      <c r="C331"/>
      <c r="D331"/>
      <c r="E331"/>
      <c r="F331"/>
      <c r="G331"/>
      <c r="H331"/>
      <c r="I331"/>
      <c r="J331"/>
      <c r="K331"/>
      <c r="L331"/>
    </row>
    <row r="332" spans="2:12" x14ac:dyDescent="0.25">
      <c r="B332"/>
      <c r="C332"/>
      <c r="D332"/>
      <c r="E332"/>
      <c r="F332"/>
      <c r="G332"/>
      <c r="H332"/>
      <c r="I332"/>
      <c r="J332"/>
      <c r="K332"/>
      <c r="L332"/>
    </row>
    <row r="333" spans="2:12" x14ac:dyDescent="0.25">
      <c r="B333"/>
      <c r="C333"/>
      <c r="D333"/>
      <c r="E333"/>
      <c r="F333"/>
      <c r="G333"/>
      <c r="H333"/>
      <c r="I333"/>
      <c r="J333"/>
      <c r="K333"/>
      <c r="L333"/>
    </row>
    <row r="334" spans="2:12" x14ac:dyDescent="0.25">
      <c r="B334"/>
      <c r="C334"/>
      <c r="D334"/>
      <c r="E334"/>
      <c r="F334"/>
      <c r="G334"/>
      <c r="H334"/>
      <c r="I334"/>
      <c r="J334"/>
      <c r="K334"/>
      <c r="L334"/>
    </row>
    <row r="335" spans="2:12" x14ac:dyDescent="0.25">
      <c r="B335"/>
      <c r="C335"/>
      <c r="D335"/>
      <c r="E335"/>
      <c r="F335"/>
      <c r="G335"/>
      <c r="H335"/>
      <c r="I335"/>
      <c r="J335"/>
      <c r="K335"/>
      <c r="L335"/>
    </row>
    <row r="336" spans="2:12" x14ac:dyDescent="0.25">
      <c r="B336"/>
      <c r="C336"/>
      <c r="D336"/>
      <c r="E336"/>
      <c r="F336"/>
      <c r="G336"/>
      <c r="H336"/>
      <c r="I336"/>
      <c r="J336"/>
      <c r="K336"/>
      <c r="L336"/>
    </row>
    <row r="337" spans="2:12" x14ac:dyDescent="0.25">
      <c r="B337"/>
      <c r="C337"/>
      <c r="D337"/>
      <c r="E337"/>
      <c r="F337"/>
      <c r="G337"/>
      <c r="H337"/>
      <c r="I337"/>
      <c r="J337"/>
      <c r="K337"/>
      <c r="L337"/>
    </row>
    <row r="338" spans="2:12" x14ac:dyDescent="0.25">
      <c r="B338"/>
      <c r="C338"/>
      <c r="D338"/>
      <c r="E338"/>
      <c r="F338"/>
      <c r="G338"/>
      <c r="H338"/>
      <c r="I338"/>
      <c r="J338"/>
      <c r="K338"/>
      <c r="L338"/>
    </row>
    <row r="339" spans="2:12" x14ac:dyDescent="0.25">
      <c r="B339"/>
      <c r="C339"/>
      <c r="D339"/>
      <c r="E339"/>
      <c r="F339"/>
      <c r="G339"/>
      <c r="H339"/>
      <c r="I339"/>
      <c r="J339"/>
      <c r="K339"/>
      <c r="L339"/>
    </row>
    <row r="340" spans="2:12" x14ac:dyDescent="0.25">
      <c r="B340"/>
      <c r="C340"/>
      <c r="D340"/>
      <c r="E340"/>
      <c r="F340"/>
      <c r="G340"/>
      <c r="H340"/>
      <c r="I340"/>
      <c r="J340"/>
      <c r="K340"/>
      <c r="L340"/>
    </row>
    <row r="341" spans="2:12" x14ac:dyDescent="0.25">
      <c r="B341"/>
      <c r="C341"/>
      <c r="D341"/>
      <c r="E341"/>
      <c r="F341"/>
      <c r="G341"/>
      <c r="H341"/>
      <c r="I341"/>
      <c r="J341"/>
      <c r="K341"/>
      <c r="L341"/>
    </row>
    <row r="342" spans="2:12" x14ac:dyDescent="0.25">
      <c r="B342"/>
      <c r="C342"/>
      <c r="D342"/>
      <c r="E342"/>
      <c r="F342"/>
      <c r="G342"/>
      <c r="H342"/>
      <c r="I342"/>
      <c r="J342"/>
      <c r="K342"/>
      <c r="L342"/>
    </row>
    <row r="343" spans="2:12" x14ac:dyDescent="0.25">
      <c r="B343"/>
      <c r="C343"/>
      <c r="D343"/>
      <c r="E343"/>
      <c r="F343"/>
      <c r="G343"/>
      <c r="H343"/>
      <c r="I343"/>
      <c r="J343"/>
      <c r="K343"/>
      <c r="L343"/>
    </row>
    <row r="344" spans="2:12" x14ac:dyDescent="0.25">
      <c r="B344"/>
      <c r="C344"/>
      <c r="D344"/>
      <c r="E344"/>
      <c r="F344"/>
      <c r="G344"/>
      <c r="H344"/>
      <c r="I344"/>
      <c r="J344"/>
      <c r="K344"/>
      <c r="L344"/>
    </row>
    <row r="345" spans="2:12" x14ac:dyDescent="0.25">
      <c r="B345"/>
      <c r="C345"/>
      <c r="D345"/>
      <c r="E345"/>
      <c r="F345"/>
      <c r="G345"/>
      <c r="H345"/>
      <c r="I345"/>
      <c r="J345"/>
      <c r="K345"/>
      <c r="L345"/>
    </row>
    <row r="346" spans="2:12" x14ac:dyDescent="0.25">
      <c r="B346"/>
      <c r="C346"/>
      <c r="D346"/>
      <c r="E346"/>
      <c r="F346"/>
      <c r="G346"/>
      <c r="H346"/>
      <c r="I346"/>
      <c r="J346"/>
      <c r="K346"/>
      <c r="L346"/>
    </row>
    <row r="347" spans="2:12" x14ac:dyDescent="0.25">
      <c r="B347"/>
      <c r="C347"/>
      <c r="D347"/>
      <c r="E347"/>
      <c r="F347"/>
      <c r="G347"/>
      <c r="H347"/>
      <c r="I347"/>
      <c r="J347"/>
      <c r="K347"/>
      <c r="L347"/>
    </row>
    <row r="348" spans="2:12" x14ac:dyDescent="0.25">
      <c r="B348"/>
      <c r="C348"/>
      <c r="D348"/>
      <c r="E348"/>
      <c r="F348"/>
      <c r="G348"/>
      <c r="H348"/>
      <c r="I348"/>
      <c r="J348"/>
      <c r="K348"/>
      <c r="L348"/>
    </row>
    <row r="349" spans="2:12" x14ac:dyDescent="0.25">
      <c r="B349"/>
      <c r="C349"/>
      <c r="D349"/>
      <c r="E349"/>
      <c r="F349"/>
      <c r="G349"/>
      <c r="H349"/>
      <c r="I349"/>
      <c r="J349"/>
      <c r="K349"/>
      <c r="L349"/>
    </row>
    <row r="350" spans="2:12" x14ac:dyDescent="0.25">
      <c r="B350"/>
      <c r="C350"/>
      <c r="D350"/>
      <c r="E350"/>
      <c r="F350"/>
      <c r="G350"/>
      <c r="H350"/>
      <c r="I350"/>
      <c r="J350"/>
      <c r="K350"/>
      <c r="L350"/>
    </row>
    <row r="351" spans="2:12" x14ac:dyDescent="0.25">
      <c r="B351"/>
      <c r="C351"/>
      <c r="D351"/>
      <c r="E351"/>
      <c r="F351"/>
      <c r="G351"/>
      <c r="H351"/>
      <c r="I351"/>
      <c r="J351"/>
      <c r="K351"/>
      <c r="L351"/>
    </row>
    <row r="352" spans="2:12" x14ac:dyDescent="0.25">
      <c r="B352"/>
      <c r="C352"/>
      <c r="D352"/>
      <c r="E352"/>
      <c r="F352"/>
      <c r="G352"/>
      <c r="H352"/>
      <c r="I352"/>
      <c r="J352"/>
      <c r="K352"/>
      <c r="L352"/>
    </row>
    <row r="353" spans="2:12" x14ac:dyDescent="0.25">
      <c r="B353"/>
      <c r="C353"/>
      <c r="D353"/>
      <c r="E353"/>
      <c r="F353"/>
      <c r="G353"/>
      <c r="H353"/>
      <c r="I353"/>
      <c r="J353"/>
      <c r="K353"/>
      <c r="L353"/>
    </row>
    <row r="354" spans="2:12" x14ac:dyDescent="0.25">
      <c r="B354"/>
      <c r="C354"/>
      <c r="D354"/>
      <c r="E354"/>
      <c r="F354"/>
      <c r="G354"/>
      <c r="H354"/>
      <c r="I354"/>
      <c r="J354"/>
      <c r="K354"/>
      <c r="L354"/>
    </row>
    <row r="355" spans="2:12" x14ac:dyDescent="0.25">
      <c r="B355"/>
      <c r="C355"/>
      <c r="D355"/>
      <c r="E355"/>
      <c r="F355"/>
      <c r="G355"/>
      <c r="H355"/>
      <c r="I355"/>
      <c r="J355"/>
      <c r="K355"/>
      <c r="L355"/>
    </row>
    <row r="356" spans="2:12" x14ac:dyDescent="0.25">
      <c r="B356"/>
      <c r="C356"/>
      <c r="D356"/>
      <c r="E356"/>
      <c r="F356"/>
      <c r="G356"/>
      <c r="H356"/>
      <c r="I356"/>
      <c r="J356"/>
      <c r="K356"/>
      <c r="L356"/>
    </row>
    <row r="357" spans="2:12" x14ac:dyDescent="0.25">
      <c r="B357"/>
      <c r="C357"/>
      <c r="D357"/>
      <c r="E357"/>
      <c r="F357"/>
      <c r="G357"/>
      <c r="H357"/>
      <c r="I357"/>
      <c r="J357"/>
      <c r="K357"/>
      <c r="L357"/>
    </row>
    <row r="358" spans="2:12" x14ac:dyDescent="0.25">
      <c r="B358"/>
      <c r="C358"/>
      <c r="D358"/>
      <c r="E358"/>
      <c r="F358"/>
      <c r="G358"/>
      <c r="H358"/>
      <c r="I358"/>
      <c r="J358"/>
      <c r="K358"/>
      <c r="L358"/>
    </row>
    <row r="359" spans="2:12" x14ac:dyDescent="0.25">
      <c r="B359"/>
      <c r="C359"/>
      <c r="D359"/>
      <c r="E359"/>
      <c r="F359"/>
      <c r="G359"/>
      <c r="H359"/>
      <c r="I359"/>
      <c r="J359"/>
      <c r="K359"/>
      <c r="L359"/>
    </row>
    <row r="360" spans="2:12" x14ac:dyDescent="0.25">
      <c r="B360"/>
      <c r="C360"/>
      <c r="D360"/>
      <c r="E360"/>
      <c r="F360"/>
      <c r="G360"/>
      <c r="H360"/>
      <c r="I360"/>
      <c r="J360"/>
      <c r="K360"/>
      <c r="L360"/>
    </row>
    <row r="361" spans="2:12" x14ac:dyDescent="0.25">
      <c r="B361"/>
      <c r="C361"/>
      <c r="D361"/>
      <c r="E361"/>
      <c r="F361"/>
      <c r="G361"/>
      <c r="H361"/>
      <c r="I361"/>
      <c r="J361"/>
      <c r="K361"/>
      <c r="L361"/>
    </row>
    <row r="362" spans="2:12" x14ac:dyDescent="0.25">
      <c r="B362"/>
      <c r="C362"/>
      <c r="D362"/>
      <c r="E362"/>
      <c r="F362"/>
      <c r="G362"/>
      <c r="H362"/>
      <c r="I362"/>
      <c r="J362"/>
      <c r="K362"/>
      <c r="L362"/>
    </row>
    <row r="363" spans="2:12" x14ac:dyDescent="0.25">
      <c r="B363"/>
      <c r="C363"/>
      <c r="D363"/>
      <c r="E363"/>
      <c r="F363"/>
      <c r="G363"/>
      <c r="H363"/>
      <c r="I363"/>
      <c r="J363"/>
      <c r="K363"/>
      <c r="L363"/>
    </row>
    <row r="364" spans="2:12" x14ac:dyDescent="0.25">
      <c r="B364"/>
      <c r="C364"/>
      <c r="D364"/>
      <c r="E364"/>
      <c r="F364"/>
      <c r="G364"/>
      <c r="H364"/>
      <c r="I364"/>
      <c r="J364"/>
      <c r="K364"/>
      <c r="L364"/>
    </row>
    <row r="365" spans="2:12" x14ac:dyDescent="0.25">
      <c r="B365"/>
      <c r="C365"/>
      <c r="D365"/>
      <c r="E365"/>
      <c r="F365"/>
      <c r="G365"/>
      <c r="H365"/>
      <c r="I365"/>
      <c r="J365"/>
      <c r="K365"/>
      <c r="L365"/>
    </row>
    <row r="366" spans="2:12" x14ac:dyDescent="0.25">
      <c r="B366"/>
      <c r="C366"/>
      <c r="D366"/>
      <c r="E366"/>
      <c r="F366"/>
      <c r="G366"/>
      <c r="H366"/>
      <c r="I366"/>
      <c r="J366"/>
      <c r="K366"/>
      <c r="L366"/>
    </row>
    <row r="367" spans="2:12" x14ac:dyDescent="0.25">
      <c r="B367"/>
      <c r="C367"/>
      <c r="D367"/>
      <c r="E367"/>
      <c r="F367"/>
      <c r="G367"/>
      <c r="H367"/>
      <c r="I367"/>
      <c r="J367"/>
      <c r="K367"/>
      <c r="L367"/>
    </row>
    <row r="368" spans="2:12" x14ac:dyDescent="0.25">
      <c r="B368"/>
      <c r="C368"/>
      <c r="D368"/>
      <c r="E368"/>
      <c r="F368"/>
      <c r="G368"/>
      <c r="H368"/>
      <c r="I368"/>
      <c r="J368"/>
      <c r="K368"/>
      <c r="L368"/>
    </row>
    <row r="369" spans="2:12" x14ac:dyDescent="0.25">
      <c r="B369"/>
      <c r="C369"/>
      <c r="D369"/>
      <c r="E369"/>
      <c r="F369"/>
      <c r="G369"/>
      <c r="H369"/>
      <c r="I369"/>
      <c r="J369"/>
      <c r="K369"/>
      <c r="L369"/>
    </row>
    <row r="370" spans="2:12" x14ac:dyDescent="0.25">
      <c r="B370"/>
      <c r="C370"/>
      <c r="D370"/>
      <c r="E370"/>
      <c r="F370"/>
      <c r="G370"/>
      <c r="H370"/>
      <c r="I370"/>
      <c r="J370"/>
      <c r="K370"/>
      <c r="L370"/>
    </row>
    <row r="371" spans="2:12" x14ac:dyDescent="0.25">
      <c r="B371"/>
      <c r="C371"/>
      <c r="D371"/>
      <c r="E371"/>
      <c r="F371"/>
      <c r="G371"/>
      <c r="H371"/>
      <c r="I371"/>
      <c r="J371"/>
      <c r="K371"/>
      <c r="L371"/>
    </row>
    <row r="372" spans="2:12" x14ac:dyDescent="0.25">
      <c r="B372"/>
      <c r="C372"/>
      <c r="D372"/>
      <c r="E372"/>
      <c r="F372"/>
      <c r="G372"/>
      <c r="H372"/>
      <c r="I372"/>
      <c r="J372"/>
      <c r="K372"/>
      <c r="L372"/>
    </row>
    <row r="373" spans="2:12" x14ac:dyDescent="0.25">
      <c r="B373"/>
      <c r="C373"/>
      <c r="D373"/>
      <c r="E373"/>
      <c r="F373"/>
      <c r="G373"/>
      <c r="H373"/>
      <c r="I373"/>
      <c r="J373"/>
      <c r="K373"/>
      <c r="L373"/>
    </row>
    <row r="374" spans="2:12" x14ac:dyDescent="0.25">
      <c r="B374"/>
      <c r="C374"/>
      <c r="D374"/>
      <c r="E374"/>
      <c r="F374"/>
      <c r="G374"/>
      <c r="H374"/>
      <c r="I374"/>
      <c r="J374"/>
      <c r="K374"/>
      <c r="L374"/>
    </row>
    <row r="375" spans="2:12" x14ac:dyDescent="0.25">
      <c r="B375"/>
      <c r="C375"/>
      <c r="D375"/>
      <c r="E375"/>
      <c r="F375"/>
      <c r="G375"/>
      <c r="H375"/>
      <c r="I375"/>
      <c r="J375"/>
      <c r="K375"/>
      <c r="L375"/>
    </row>
    <row r="376" spans="2:12" x14ac:dyDescent="0.25">
      <c r="B376"/>
      <c r="C376"/>
      <c r="D376"/>
      <c r="E376"/>
      <c r="F376"/>
      <c r="G376"/>
      <c r="H376"/>
      <c r="I376"/>
      <c r="J376"/>
      <c r="K376"/>
      <c r="L376"/>
    </row>
    <row r="377" spans="2:12" x14ac:dyDescent="0.25">
      <c r="B377"/>
      <c r="C377"/>
      <c r="D377"/>
      <c r="E377"/>
      <c r="F377"/>
      <c r="G377"/>
      <c r="H377"/>
      <c r="I377"/>
      <c r="J377"/>
      <c r="K377"/>
      <c r="L377"/>
    </row>
    <row r="378" spans="2:12" x14ac:dyDescent="0.25">
      <c r="B378"/>
      <c r="C378"/>
      <c r="D378"/>
      <c r="E378"/>
      <c r="F378"/>
      <c r="G378"/>
      <c r="H378"/>
      <c r="I378"/>
      <c r="J378"/>
      <c r="K378"/>
      <c r="L378"/>
    </row>
    <row r="379" spans="2:12" x14ac:dyDescent="0.25">
      <c r="B379"/>
      <c r="C379"/>
      <c r="D379"/>
      <c r="E379"/>
      <c r="F379"/>
      <c r="G379"/>
      <c r="H379"/>
      <c r="I379"/>
      <c r="J379"/>
      <c r="K379"/>
      <c r="L379"/>
    </row>
    <row r="380" spans="2:12" x14ac:dyDescent="0.25">
      <c r="B380"/>
      <c r="C380"/>
      <c r="D380"/>
      <c r="E380"/>
      <c r="F380"/>
      <c r="G380"/>
      <c r="H380"/>
      <c r="I380"/>
      <c r="J380"/>
      <c r="K380"/>
      <c r="L380"/>
    </row>
    <row r="381" spans="2:12" x14ac:dyDescent="0.25">
      <c r="B381"/>
      <c r="C381"/>
      <c r="D381"/>
      <c r="E381"/>
      <c r="F381"/>
      <c r="G381"/>
      <c r="H381"/>
      <c r="I381"/>
      <c r="J381"/>
      <c r="K381"/>
      <c r="L381"/>
    </row>
    <row r="382" spans="2:12" x14ac:dyDescent="0.25">
      <c r="B382"/>
      <c r="C382"/>
      <c r="D382"/>
      <c r="E382"/>
      <c r="F382"/>
      <c r="G382"/>
      <c r="H382"/>
      <c r="I382"/>
      <c r="J382"/>
      <c r="K382"/>
      <c r="L382"/>
    </row>
    <row r="383" spans="2:12" x14ac:dyDescent="0.25">
      <c r="B383"/>
      <c r="C383"/>
      <c r="D383"/>
      <c r="E383"/>
      <c r="F383"/>
      <c r="G383"/>
      <c r="H383"/>
      <c r="I383"/>
      <c r="J383"/>
      <c r="K383"/>
      <c r="L383"/>
    </row>
    <row r="384" spans="2:12" x14ac:dyDescent="0.25">
      <c r="B384"/>
      <c r="C384"/>
      <c r="D384"/>
      <c r="E384"/>
      <c r="F384"/>
      <c r="G384"/>
      <c r="H384"/>
      <c r="I384"/>
      <c r="J384"/>
      <c r="K384"/>
      <c r="L384"/>
    </row>
    <row r="385" spans="2:12" x14ac:dyDescent="0.25">
      <c r="B385"/>
      <c r="C385"/>
      <c r="D385"/>
      <c r="E385"/>
      <c r="F385"/>
      <c r="G385"/>
      <c r="H385"/>
      <c r="I385"/>
      <c r="J385"/>
      <c r="K385"/>
      <c r="L385"/>
    </row>
    <row r="386" spans="2:12" x14ac:dyDescent="0.25">
      <c r="B386"/>
      <c r="C386"/>
      <c r="D386"/>
      <c r="E386"/>
      <c r="F386"/>
      <c r="G386"/>
      <c r="H386"/>
      <c r="I386"/>
      <c r="J386"/>
      <c r="K386"/>
      <c r="L386"/>
    </row>
    <row r="387" spans="2:12" x14ac:dyDescent="0.25">
      <c r="B387"/>
      <c r="C387"/>
      <c r="D387"/>
      <c r="E387"/>
      <c r="F387"/>
      <c r="G387"/>
      <c r="H387"/>
      <c r="I387"/>
      <c r="J387"/>
      <c r="K387"/>
      <c r="L387"/>
    </row>
    <row r="388" spans="2:12" x14ac:dyDescent="0.25">
      <c r="B388"/>
      <c r="C388"/>
      <c r="D388"/>
      <c r="E388"/>
      <c r="F388"/>
      <c r="G388"/>
      <c r="H388"/>
      <c r="I388"/>
      <c r="J388"/>
      <c r="K388"/>
      <c r="L388"/>
    </row>
    <row r="389" spans="2:12" x14ac:dyDescent="0.25">
      <c r="B389"/>
      <c r="C389"/>
      <c r="D389"/>
      <c r="E389"/>
      <c r="F389"/>
      <c r="G389"/>
      <c r="H389"/>
      <c r="I389"/>
      <c r="J389"/>
      <c r="K389"/>
      <c r="L389"/>
    </row>
    <row r="390" spans="2:12" x14ac:dyDescent="0.25">
      <c r="B390"/>
      <c r="C390"/>
      <c r="D390"/>
      <c r="E390"/>
      <c r="F390"/>
      <c r="G390"/>
      <c r="H390"/>
      <c r="I390"/>
      <c r="J390"/>
      <c r="K390"/>
      <c r="L390"/>
    </row>
    <row r="391" spans="2:12" x14ac:dyDescent="0.25">
      <c r="B391"/>
      <c r="C391"/>
      <c r="D391"/>
      <c r="E391"/>
      <c r="F391"/>
      <c r="G391"/>
      <c r="H391"/>
      <c r="I391"/>
      <c r="J391"/>
      <c r="K391"/>
      <c r="L391"/>
    </row>
    <row r="392" spans="2:12" x14ac:dyDescent="0.25">
      <c r="B392"/>
      <c r="C392"/>
      <c r="D392"/>
      <c r="E392"/>
      <c r="F392"/>
      <c r="G392"/>
      <c r="H392"/>
      <c r="I392"/>
      <c r="J392"/>
      <c r="K392"/>
      <c r="L392"/>
    </row>
    <row r="393" spans="2:12" x14ac:dyDescent="0.25">
      <c r="B393"/>
      <c r="C393"/>
      <c r="D393"/>
      <c r="E393"/>
      <c r="F393"/>
      <c r="G393"/>
      <c r="H393"/>
      <c r="I393"/>
      <c r="J393"/>
      <c r="K393"/>
      <c r="L393"/>
    </row>
    <row r="394" spans="2:12" x14ac:dyDescent="0.25">
      <c r="B394"/>
      <c r="C394"/>
      <c r="D394"/>
      <c r="E394"/>
      <c r="F394"/>
      <c r="G394"/>
      <c r="H394"/>
      <c r="I394"/>
      <c r="J394"/>
      <c r="K394"/>
      <c r="L394"/>
    </row>
    <row r="395" spans="2:12" x14ac:dyDescent="0.25">
      <c r="B395"/>
      <c r="C395"/>
      <c r="D395"/>
      <c r="E395"/>
      <c r="F395"/>
      <c r="G395"/>
      <c r="H395"/>
      <c r="I395"/>
      <c r="J395"/>
      <c r="K395"/>
      <c r="L395"/>
    </row>
    <row r="396" spans="2:12" x14ac:dyDescent="0.25">
      <c r="B396"/>
      <c r="C396"/>
      <c r="D396"/>
      <c r="E396"/>
      <c r="F396"/>
      <c r="G396"/>
      <c r="H396"/>
      <c r="I396"/>
      <c r="J396"/>
      <c r="K396"/>
      <c r="L396"/>
    </row>
    <row r="397" spans="2:12" x14ac:dyDescent="0.25">
      <c r="B397"/>
      <c r="C397"/>
      <c r="D397"/>
      <c r="E397"/>
      <c r="F397"/>
      <c r="G397"/>
      <c r="H397"/>
      <c r="I397"/>
      <c r="J397"/>
      <c r="K397"/>
      <c r="L397"/>
    </row>
    <row r="398" spans="2:12" x14ac:dyDescent="0.25">
      <c r="B398"/>
      <c r="C398"/>
      <c r="D398"/>
      <c r="E398"/>
      <c r="F398"/>
      <c r="G398"/>
      <c r="H398"/>
      <c r="I398"/>
      <c r="J398"/>
      <c r="K398"/>
      <c r="L398"/>
    </row>
    <row r="399" spans="2:12" x14ac:dyDescent="0.25">
      <c r="B399"/>
      <c r="C399"/>
      <c r="D399"/>
      <c r="E399"/>
      <c r="F399"/>
      <c r="G399"/>
      <c r="H399"/>
      <c r="I399"/>
      <c r="J399"/>
      <c r="K399"/>
      <c r="L399"/>
    </row>
    <row r="400" spans="2:12" x14ac:dyDescent="0.25">
      <c r="B400"/>
      <c r="C400"/>
      <c r="D400"/>
      <c r="E400"/>
      <c r="F400"/>
      <c r="G400"/>
      <c r="H400"/>
      <c r="I400"/>
      <c r="J400"/>
      <c r="K400"/>
      <c r="L400"/>
    </row>
    <row r="401" spans="2:12" x14ac:dyDescent="0.25">
      <c r="B401"/>
      <c r="C401"/>
      <c r="D401"/>
      <c r="E401"/>
      <c r="F401"/>
      <c r="G401"/>
      <c r="H401"/>
      <c r="I401"/>
      <c r="J401"/>
      <c r="K401"/>
      <c r="L401"/>
    </row>
    <row r="402" spans="2:12" x14ac:dyDescent="0.25">
      <c r="B402"/>
      <c r="C402"/>
      <c r="D402"/>
      <c r="E402"/>
      <c r="F402"/>
      <c r="G402"/>
      <c r="H402"/>
      <c r="I402"/>
      <c r="J402"/>
      <c r="K402"/>
      <c r="L402"/>
    </row>
    <row r="403" spans="2:12" x14ac:dyDescent="0.25">
      <c r="B403"/>
      <c r="C403"/>
      <c r="D403"/>
      <c r="E403"/>
      <c r="F403"/>
      <c r="G403"/>
      <c r="H403"/>
      <c r="I403"/>
      <c r="J403"/>
      <c r="K403"/>
      <c r="L403"/>
    </row>
    <row r="404" spans="2:12" x14ac:dyDescent="0.25">
      <c r="B404"/>
      <c r="C404"/>
      <c r="D404"/>
      <c r="E404"/>
      <c r="F404"/>
      <c r="G404"/>
      <c r="H404"/>
      <c r="I404"/>
      <c r="J404"/>
      <c r="K404"/>
      <c r="L404"/>
    </row>
    <row r="405" spans="2:12" x14ac:dyDescent="0.25">
      <c r="B405"/>
      <c r="C405"/>
      <c r="D405"/>
      <c r="E405"/>
      <c r="F405"/>
      <c r="G405"/>
      <c r="H405"/>
      <c r="I405"/>
      <c r="J405"/>
      <c r="K405"/>
      <c r="L405"/>
    </row>
    <row r="406" spans="2:12" x14ac:dyDescent="0.25">
      <c r="B406"/>
      <c r="C406"/>
      <c r="D406"/>
      <c r="E406"/>
      <c r="F406"/>
      <c r="G406"/>
      <c r="H406"/>
      <c r="I406"/>
      <c r="J406"/>
      <c r="K406"/>
      <c r="L406"/>
    </row>
    <row r="407" spans="2:12" x14ac:dyDescent="0.25">
      <c r="B407"/>
      <c r="C407"/>
      <c r="D407"/>
      <c r="E407"/>
      <c r="F407"/>
      <c r="G407"/>
      <c r="H407"/>
      <c r="I407"/>
      <c r="J407"/>
      <c r="K407"/>
      <c r="L407"/>
    </row>
    <row r="408" spans="2:12" x14ac:dyDescent="0.25">
      <c r="B408"/>
      <c r="C408"/>
      <c r="D408"/>
      <c r="E408"/>
      <c r="F408"/>
      <c r="G408"/>
      <c r="H408"/>
      <c r="I408"/>
      <c r="J408"/>
      <c r="K408"/>
      <c r="L408"/>
    </row>
    <row r="409" spans="2:12" x14ac:dyDescent="0.25">
      <c r="B409"/>
      <c r="C409"/>
      <c r="D409"/>
      <c r="E409"/>
      <c r="F409"/>
      <c r="G409"/>
      <c r="H409"/>
      <c r="I409"/>
      <c r="J409"/>
      <c r="K409"/>
      <c r="L409"/>
    </row>
    <row r="410" spans="2:12" x14ac:dyDescent="0.25">
      <c r="B410"/>
      <c r="C410"/>
      <c r="D410"/>
      <c r="E410"/>
      <c r="F410"/>
      <c r="G410"/>
      <c r="H410"/>
      <c r="I410"/>
      <c r="J410"/>
      <c r="K410"/>
      <c r="L410"/>
    </row>
    <row r="411" spans="2:12" x14ac:dyDescent="0.25">
      <c r="B411"/>
      <c r="C411"/>
      <c r="D411"/>
      <c r="E411"/>
      <c r="F411"/>
      <c r="G411"/>
      <c r="H411"/>
      <c r="I411"/>
      <c r="J411"/>
      <c r="K411"/>
      <c r="L411"/>
    </row>
    <row r="412" spans="2:12" x14ac:dyDescent="0.25">
      <c r="B412"/>
      <c r="C412"/>
      <c r="D412"/>
      <c r="E412"/>
      <c r="F412"/>
      <c r="G412"/>
      <c r="H412"/>
      <c r="I412"/>
      <c r="J412"/>
      <c r="K412"/>
      <c r="L412"/>
    </row>
    <row r="413" spans="2:12" x14ac:dyDescent="0.25">
      <c r="B413"/>
      <c r="C413"/>
      <c r="D413"/>
      <c r="E413"/>
      <c r="F413"/>
      <c r="G413"/>
      <c r="H413"/>
      <c r="I413"/>
      <c r="J413"/>
      <c r="K413"/>
      <c r="L413"/>
    </row>
    <row r="414" spans="2:12" x14ac:dyDescent="0.25">
      <c r="B414"/>
      <c r="C414"/>
      <c r="D414"/>
      <c r="E414"/>
      <c r="F414"/>
      <c r="G414"/>
      <c r="H414"/>
      <c r="I414"/>
      <c r="J414"/>
      <c r="K414"/>
      <c r="L414"/>
    </row>
    <row r="415" spans="2:12" x14ac:dyDescent="0.25">
      <c r="B415"/>
      <c r="C415"/>
      <c r="D415"/>
      <c r="E415"/>
      <c r="F415"/>
      <c r="G415"/>
      <c r="H415"/>
      <c r="I415"/>
      <c r="J415"/>
      <c r="K415"/>
      <c r="L415"/>
    </row>
    <row r="416" spans="2:12" x14ac:dyDescent="0.25">
      <c r="B416"/>
      <c r="C416"/>
      <c r="D416"/>
      <c r="E416"/>
      <c r="F416"/>
      <c r="G416"/>
      <c r="H416"/>
      <c r="I416"/>
      <c r="J416"/>
      <c r="K416"/>
      <c r="L416"/>
    </row>
    <row r="417" spans="2:12" x14ac:dyDescent="0.25">
      <c r="B417"/>
      <c r="C417"/>
      <c r="D417"/>
      <c r="E417"/>
      <c r="F417"/>
      <c r="G417"/>
      <c r="H417"/>
      <c r="I417"/>
      <c r="J417"/>
      <c r="K417"/>
      <c r="L417"/>
    </row>
    <row r="418" spans="2:12" x14ac:dyDescent="0.25">
      <c r="B418"/>
      <c r="C418"/>
      <c r="D418"/>
      <c r="E418"/>
      <c r="F418"/>
      <c r="G418"/>
      <c r="H418"/>
      <c r="I418"/>
      <c r="J418"/>
      <c r="K418"/>
      <c r="L418"/>
    </row>
    <row r="419" spans="2:12" x14ac:dyDescent="0.25">
      <c r="B419"/>
      <c r="C419"/>
      <c r="D419"/>
      <c r="E419"/>
      <c r="F419"/>
      <c r="G419"/>
      <c r="H419"/>
      <c r="I419"/>
      <c r="J419"/>
      <c r="K419"/>
      <c r="L419"/>
    </row>
    <row r="420" spans="2:12" x14ac:dyDescent="0.25">
      <c r="B420"/>
      <c r="C420"/>
      <c r="D420"/>
      <c r="E420"/>
      <c r="F420"/>
      <c r="G420"/>
      <c r="H420"/>
      <c r="I420"/>
      <c r="J420"/>
      <c r="K420"/>
      <c r="L420"/>
    </row>
    <row r="421" spans="2:12" x14ac:dyDescent="0.25">
      <c r="B421"/>
      <c r="C421"/>
      <c r="D421"/>
      <c r="E421"/>
      <c r="F421"/>
      <c r="G421"/>
      <c r="H421"/>
      <c r="I421"/>
      <c r="J421"/>
      <c r="K421"/>
      <c r="L421"/>
    </row>
    <row r="422" spans="2:12" x14ac:dyDescent="0.25">
      <c r="B422"/>
      <c r="C422"/>
      <c r="D422"/>
      <c r="E422"/>
      <c r="F422"/>
      <c r="G422"/>
      <c r="H422"/>
      <c r="I422"/>
      <c r="J422"/>
      <c r="K422"/>
      <c r="L422"/>
    </row>
    <row r="423" spans="2:12" x14ac:dyDescent="0.25">
      <c r="B423"/>
      <c r="C423"/>
      <c r="D423"/>
      <c r="E423"/>
      <c r="F423"/>
      <c r="G423"/>
      <c r="H423"/>
      <c r="I423"/>
      <c r="J423"/>
      <c r="K423"/>
      <c r="L423"/>
    </row>
    <row r="424" spans="2:12" x14ac:dyDescent="0.25">
      <c r="B424"/>
      <c r="C424"/>
      <c r="D424"/>
      <c r="E424"/>
      <c r="F424"/>
      <c r="G424"/>
      <c r="H424"/>
      <c r="I424"/>
      <c r="J424"/>
      <c r="K424"/>
      <c r="L424"/>
    </row>
    <row r="425" spans="2:12" x14ac:dyDescent="0.25">
      <c r="B425"/>
      <c r="C425"/>
      <c r="D425"/>
      <c r="E425"/>
      <c r="F425"/>
      <c r="G425"/>
      <c r="H425"/>
      <c r="I425"/>
      <c r="J425"/>
      <c r="K425"/>
      <c r="L425"/>
    </row>
    <row r="426" spans="2:12" x14ac:dyDescent="0.25">
      <c r="B426"/>
      <c r="C426"/>
      <c r="D426"/>
      <c r="E426"/>
      <c r="F426"/>
      <c r="G426"/>
      <c r="H426"/>
      <c r="I426"/>
      <c r="J426"/>
      <c r="K426"/>
      <c r="L426"/>
    </row>
    <row r="427" spans="2:12" x14ac:dyDescent="0.25">
      <c r="B427"/>
      <c r="C427"/>
      <c r="D427"/>
      <c r="E427"/>
      <c r="F427"/>
      <c r="G427"/>
      <c r="H427"/>
      <c r="I427"/>
      <c r="J427"/>
      <c r="K427"/>
      <c r="L427"/>
    </row>
    <row r="428" spans="2:12" x14ac:dyDescent="0.25">
      <c r="B428"/>
      <c r="C428"/>
      <c r="D428"/>
      <c r="E428"/>
      <c r="F428"/>
      <c r="G428"/>
      <c r="H428"/>
      <c r="I428"/>
      <c r="J428"/>
      <c r="K428"/>
      <c r="L428"/>
    </row>
    <row r="429" spans="2:12" x14ac:dyDescent="0.25">
      <c r="B429"/>
      <c r="C429"/>
      <c r="D429"/>
      <c r="E429"/>
      <c r="F429"/>
      <c r="G429"/>
      <c r="H429"/>
      <c r="I429"/>
      <c r="J429"/>
      <c r="K429"/>
      <c r="L429"/>
    </row>
    <row r="430" spans="2:12" x14ac:dyDescent="0.25">
      <c r="B430"/>
      <c r="C430"/>
      <c r="D430"/>
      <c r="E430"/>
      <c r="F430"/>
      <c r="G430"/>
      <c r="H430"/>
      <c r="I430"/>
      <c r="J430"/>
      <c r="K430"/>
      <c r="L430"/>
    </row>
    <row r="431" spans="2:12" x14ac:dyDescent="0.25">
      <c r="B431"/>
      <c r="C431"/>
      <c r="D431"/>
      <c r="E431"/>
      <c r="F431"/>
      <c r="G431"/>
      <c r="H431"/>
      <c r="I431"/>
      <c r="J431"/>
      <c r="K431"/>
      <c r="L431"/>
    </row>
    <row r="432" spans="2:12" x14ac:dyDescent="0.25">
      <c r="B432"/>
      <c r="C432"/>
      <c r="D432"/>
      <c r="E432"/>
      <c r="F432"/>
      <c r="G432"/>
      <c r="H432"/>
      <c r="I432"/>
      <c r="J432"/>
      <c r="K432"/>
      <c r="L432"/>
    </row>
    <row r="433" spans="2:12" x14ac:dyDescent="0.25">
      <c r="B433"/>
      <c r="C433"/>
      <c r="D433"/>
      <c r="E433"/>
      <c r="F433"/>
      <c r="G433"/>
      <c r="H433"/>
      <c r="I433"/>
      <c r="J433"/>
      <c r="K433"/>
      <c r="L433"/>
    </row>
    <row r="434" spans="2:12" x14ac:dyDescent="0.25">
      <c r="B434"/>
      <c r="C434"/>
      <c r="D434"/>
      <c r="E434"/>
      <c r="F434"/>
      <c r="G434"/>
      <c r="H434"/>
      <c r="I434"/>
      <c r="J434"/>
      <c r="K434"/>
      <c r="L434"/>
    </row>
    <row r="435" spans="2:12" x14ac:dyDescent="0.25">
      <c r="B435"/>
      <c r="C435"/>
      <c r="D435"/>
      <c r="E435"/>
      <c r="F435"/>
      <c r="G435"/>
      <c r="H435"/>
      <c r="I435"/>
      <c r="J435"/>
      <c r="K435"/>
      <c r="L435"/>
    </row>
    <row r="436" spans="2:12" x14ac:dyDescent="0.25">
      <c r="B436"/>
      <c r="C436"/>
      <c r="D436"/>
      <c r="E436"/>
      <c r="F436"/>
      <c r="G436"/>
      <c r="H436"/>
      <c r="I436"/>
      <c r="J436"/>
      <c r="K436"/>
      <c r="L436"/>
    </row>
    <row r="437" spans="2:12" x14ac:dyDescent="0.25">
      <c r="B437"/>
      <c r="C437"/>
      <c r="D437"/>
      <c r="E437"/>
      <c r="F437"/>
      <c r="G437"/>
      <c r="H437"/>
      <c r="I437"/>
      <c r="J437"/>
      <c r="K437"/>
      <c r="L437"/>
    </row>
    <row r="438" spans="2:12" x14ac:dyDescent="0.25">
      <c r="B438"/>
      <c r="C438"/>
      <c r="D438"/>
      <c r="E438"/>
      <c r="F438"/>
      <c r="G438"/>
      <c r="H438"/>
      <c r="I438"/>
      <c r="J438"/>
      <c r="K438"/>
      <c r="L438"/>
    </row>
    <row r="439" spans="2:12" x14ac:dyDescent="0.25">
      <c r="B439"/>
      <c r="C439"/>
      <c r="D439"/>
      <c r="E439"/>
      <c r="F439"/>
      <c r="G439"/>
      <c r="H439"/>
      <c r="I439"/>
      <c r="J439"/>
      <c r="K439"/>
      <c r="L439"/>
    </row>
    <row r="440" spans="2:12" x14ac:dyDescent="0.25">
      <c r="B440"/>
      <c r="C440"/>
      <c r="D440"/>
      <c r="E440"/>
      <c r="F440"/>
      <c r="G440"/>
      <c r="H440"/>
      <c r="I440"/>
      <c r="J440"/>
      <c r="K440"/>
      <c r="L440"/>
    </row>
    <row r="441" spans="2:12" x14ac:dyDescent="0.25">
      <c r="B441"/>
      <c r="C441"/>
      <c r="D441"/>
      <c r="E441"/>
      <c r="F441"/>
      <c r="G441"/>
      <c r="H441"/>
      <c r="I441"/>
      <c r="J441"/>
      <c r="K441"/>
      <c r="L441"/>
    </row>
    <row r="442" spans="2:12" x14ac:dyDescent="0.25">
      <c r="B442"/>
      <c r="C442"/>
      <c r="D442"/>
      <c r="E442"/>
      <c r="F442"/>
      <c r="G442"/>
      <c r="H442"/>
      <c r="I442"/>
      <c r="J442"/>
      <c r="K442"/>
      <c r="L442"/>
    </row>
    <row r="443" spans="2:12" x14ac:dyDescent="0.25">
      <c r="B443"/>
      <c r="C443"/>
      <c r="D443"/>
      <c r="E443"/>
      <c r="F443"/>
      <c r="G443"/>
      <c r="H443"/>
      <c r="I443"/>
      <c r="J443"/>
      <c r="K443"/>
      <c r="L443"/>
    </row>
    <row r="444" spans="2:12" x14ac:dyDescent="0.25">
      <c r="B444"/>
      <c r="C444"/>
      <c r="D444"/>
      <c r="E444"/>
      <c r="F444"/>
      <c r="G444"/>
      <c r="H444"/>
      <c r="I444"/>
      <c r="J444"/>
      <c r="K444"/>
      <c r="L444"/>
    </row>
    <row r="445" spans="2:12" x14ac:dyDescent="0.25">
      <c r="B445"/>
      <c r="C445"/>
      <c r="D445"/>
      <c r="E445"/>
      <c r="F445"/>
      <c r="G445"/>
      <c r="H445"/>
      <c r="I445"/>
      <c r="J445"/>
      <c r="K445"/>
      <c r="L445"/>
    </row>
    <row r="446" spans="2:12" x14ac:dyDescent="0.25">
      <c r="B446"/>
      <c r="C446"/>
      <c r="D446"/>
      <c r="E446"/>
      <c r="F446"/>
      <c r="G446"/>
      <c r="H446"/>
      <c r="I446"/>
      <c r="J446"/>
      <c r="K446"/>
      <c r="L446"/>
    </row>
    <row r="447" spans="2:12" x14ac:dyDescent="0.25">
      <c r="B447"/>
      <c r="C447"/>
      <c r="D447"/>
      <c r="E447"/>
      <c r="F447"/>
      <c r="G447"/>
      <c r="H447"/>
      <c r="I447"/>
      <c r="J447"/>
      <c r="K447"/>
      <c r="L447"/>
    </row>
    <row r="448" spans="2:12" x14ac:dyDescent="0.25">
      <c r="B448"/>
      <c r="C448"/>
      <c r="D448"/>
      <c r="E448"/>
      <c r="F448"/>
      <c r="G448"/>
      <c r="H448"/>
      <c r="I448"/>
      <c r="J448"/>
      <c r="K448"/>
      <c r="L448"/>
    </row>
    <row r="449" spans="2:12" x14ac:dyDescent="0.25">
      <c r="B449"/>
      <c r="C449"/>
      <c r="D449"/>
      <c r="E449"/>
      <c r="F449"/>
      <c r="G449"/>
      <c r="H449"/>
      <c r="I449"/>
      <c r="J449"/>
      <c r="K449"/>
      <c r="L449"/>
    </row>
    <row r="450" spans="2:12" x14ac:dyDescent="0.25">
      <c r="B450"/>
      <c r="C450"/>
      <c r="D450"/>
      <c r="E450"/>
      <c r="F450"/>
      <c r="G450"/>
      <c r="H450"/>
      <c r="I450"/>
      <c r="J450"/>
      <c r="K450"/>
      <c r="L450"/>
    </row>
    <row r="451" spans="2:12" x14ac:dyDescent="0.25">
      <c r="B451"/>
      <c r="C451"/>
      <c r="D451"/>
      <c r="E451"/>
      <c r="F451"/>
      <c r="G451"/>
      <c r="H451"/>
      <c r="I451"/>
      <c r="J451"/>
      <c r="K451"/>
      <c r="L451"/>
    </row>
    <row r="452" spans="2:12" x14ac:dyDescent="0.25">
      <c r="B452"/>
      <c r="C452"/>
      <c r="D452"/>
      <c r="E452"/>
      <c r="F452"/>
      <c r="G452"/>
      <c r="H452"/>
      <c r="I452"/>
      <c r="J452"/>
      <c r="K452"/>
      <c r="L452"/>
    </row>
    <row r="453" spans="2:12" x14ac:dyDescent="0.25">
      <c r="B453"/>
      <c r="C453"/>
      <c r="D453"/>
      <c r="E453"/>
      <c r="F453"/>
      <c r="G453"/>
      <c r="H453"/>
      <c r="I453"/>
      <c r="J453"/>
      <c r="K453"/>
      <c r="L453"/>
    </row>
    <row r="454" spans="2:12" x14ac:dyDescent="0.25">
      <c r="B454"/>
      <c r="C454"/>
      <c r="D454"/>
      <c r="E454"/>
      <c r="F454"/>
      <c r="G454"/>
      <c r="H454"/>
      <c r="I454"/>
      <c r="J454"/>
      <c r="K454"/>
      <c r="L454"/>
    </row>
    <row r="455" spans="2:12" x14ac:dyDescent="0.25">
      <c r="B455"/>
      <c r="C455"/>
      <c r="D455"/>
      <c r="E455"/>
      <c r="F455"/>
      <c r="G455"/>
      <c r="H455"/>
      <c r="I455"/>
      <c r="J455"/>
      <c r="K455"/>
      <c r="L455"/>
    </row>
    <row r="456" spans="2:12" x14ac:dyDescent="0.25">
      <c r="B456"/>
      <c r="C456"/>
      <c r="D456"/>
      <c r="E456"/>
      <c r="F456"/>
      <c r="G456"/>
      <c r="H456"/>
      <c r="I456"/>
      <c r="J456"/>
      <c r="K456"/>
      <c r="L456"/>
    </row>
    <row r="457" spans="2:12" x14ac:dyDescent="0.25">
      <c r="B457"/>
      <c r="C457"/>
      <c r="D457"/>
      <c r="E457"/>
      <c r="F457"/>
      <c r="G457"/>
      <c r="H457"/>
      <c r="I457"/>
      <c r="J457"/>
      <c r="K457"/>
      <c r="L457"/>
    </row>
    <row r="458" spans="2:12" x14ac:dyDescent="0.25">
      <c r="B458"/>
      <c r="C458"/>
      <c r="D458"/>
      <c r="E458"/>
      <c r="F458"/>
      <c r="G458"/>
      <c r="H458"/>
      <c r="I458"/>
      <c r="J458"/>
      <c r="K458"/>
      <c r="L458"/>
    </row>
    <row r="459" spans="2:12" x14ac:dyDescent="0.25">
      <c r="B459"/>
      <c r="C459"/>
      <c r="D459"/>
      <c r="E459"/>
      <c r="F459"/>
      <c r="G459"/>
      <c r="H459"/>
      <c r="I459"/>
      <c r="J459"/>
      <c r="K459"/>
      <c r="L459"/>
    </row>
    <row r="460" spans="2:12" x14ac:dyDescent="0.25">
      <c r="B460"/>
      <c r="C460"/>
      <c r="D460"/>
      <c r="E460"/>
      <c r="F460"/>
      <c r="G460"/>
      <c r="H460"/>
      <c r="I460"/>
      <c r="J460"/>
      <c r="K460"/>
      <c r="L460"/>
    </row>
    <row r="461" spans="2:12" x14ac:dyDescent="0.25">
      <c r="B461"/>
      <c r="C461"/>
      <c r="D461"/>
      <c r="E461"/>
      <c r="F461"/>
      <c r="G461"/>
      <c r="H461"/>
      <c r="I461"/>
      <c r="J461"/>
      <c r="K461"/>
      <c r="L461"/>
    </row>
    <row r="462" spans="2:12" x14ac:dyDescent="0.25">
      <c r="B462"/>
      <c r="C462"/>
      <c r="D462"/>
      <c r="E462"/>
      <c r="F462"/>
      <c r="G462"/>
      <c r="H462"/>
      <c r="I462"/>
      <c r="J462"/>
      <c r="K462"/>
      <c r="L462"/>
    </row>
    <row r="463" spans="2:12" x14ac:dyDescent="0.25">
      <c r="B463"/>
      <c r="C463"/>
      <c r="D463"/>
      <c r="E463"/>
      <c r="F463"/>
      <c r="G463"/>
      <c r="H463"/>
      <c r="I463"/>
      <c r="J463"/>
      <c r="K463"/>
      <c r="L463"/>
    </row>
    <row r="464" spans="2:12" x14ac:dyDescent="0.25">
      <c r="B464"/>
      <c r="C464"/>
      <c r="D464"/>
      <c r="E464"/>
      <c r="F464"/>
      <c r="G464"/>
      <c r="H464"/>
      <c r="I464"/>
      <c r="J464"/>
      <c r="K464"/>
      <c r="L464"/>
    </row>
    <row r="465" spans="2:12" x14ac:dyDescent="0.25">
      <c r="B465"/>
      <c r="C465"/>
      <c r="D465"/>
      <c r="E465"/>
      <c r="F465"/>
      <c r="G465"/>
      <c r="H465"/>
      <c r="I465"/>
      <c r="J465"/>
      <c r="K465"/>
      <c r="L465"/>
    </row>
    <row r="466" spans="2:12" x14ac:dyDescent="0.25">
      <c r="B466"/>
      <c r="C466"/>
      <c r="D466"/>
      <c r="E466"/>
      <c r="F466"/>
      <c r="G466"/>
      <c r="H466"/>
      <c r="I466"/>
      <c r="J466"/>
      <c r="K466"/>
      <c r="L466"/>
    </row>
    <row r="467" spans="2:12" x14ac:dyDescent="0.25">
      <c r="B467"/>
      <c r="C467"/>
      <c r="D467"/>
      <c r="E467"/>
      <c r="F467"/>
      <c r="G467"/>
      <c r="H467"/>
      <c r="I467"/>
      <c r="J467"/>
      <c r="K467"/>
      <c r="L467"/>
    </row>
    <row r="468" spans="2:12" x14ac:dyDescent="0.25">
      <c r="B468"/>
      <c r="C468"/>
      <c r="D468"/>
      <c r="E468"/>
      <c r="F468"/>
      <c r="G468"/>
      <c r="H468"/>
      <c r="I468"/>
      <c r="J468"/>
      <c r="K468"/>
      <c r="L468"/>
    </row>
    <row r="469" spans="2:12" x14ac:dyDescent="0.25">
      <c r="B469"/>
      <c r="C469"/>
      <c r="D469"/>
      <c r="E469"/>
      <c r="F469"/>
      <c r="G469"/>
      <c r="H469"/>
      <c r="I469"/>
      <c r="J469"/>
      <c r="K469"/>
      <c r="L469"/>
    </row>
    <row r="470" spans="2:12" x14ac:dyDescent="0.25">
      <c r="B470"/>
      <c r="C470"/>
      <c r="D470"/>
      <c r="E470"/>
      <c r="F470"/>
      <c r="G470"/>
      <c r="H470"/>
      <c r="I470"/>
      <c r="J470"/>
      <c r="K470"/>
      <c r="L470"/>
    </row>
    <row r="471" spans="2:12" x14ac:dyDescent="0.25">
      <c r="B471"/>
      <c r="C471"/>
      <c r="D471"/>
      <c r="E471"/>
      <c r="F471"/>
      <c r="G471"/>
      <c r="H471"/>
      <c r="I471"/>
      <c r="J471"/>
      <c r="K471"/>
      <c r="L471"/>
    </row>
    <row r="472" spans="2:12" x14ac:dyDescent="0.25">
      <c r="B472"/>
      <c r="C472"/>
      <c r="D472"/>
      <c r="E472"/>
      <c r="F472"/>
      <c r="G472"/>
      <c r="H472"/>
      <c r="I472"/>
      <c r="J472"/>
      <c r="K472"/>
      <c r="L472"/>
    </row>
    <row r="473" spans="2:12" x14ac:dyDescent="0.25">
      <c r="B473"/>
      <c r="C473"/>
      <c r="D473"/>
      <c r="E473"/>
      <c r="F473"/>
      <c r="G473"/>
      <c r="H473"/>
      <c r="I473"/>
      <c r="J473"/>
      <c r="K473"/>
      <c r="L473"/>
    </row>
    <row r="474" spans="2:12" x14ac:dyDescent="0.25">
      <c r="B474"/>
      <c r="C474"/>
      <c r="D474"/>
      <c r="E474"/>
      <c r="F474"/>
      <c r="G474"/>
      <c r="H474"/>
      <c r="I474"/>
      <c r="J474"/>
      <c r="K474"/>
      <c r="L474"/>
    </row>
    <row r="475" spans="2:12" x14ac:dyDescent="0.25">
      <c r="B475"/>
      <c r="C475"/>
      <c r="D475"/>
      <c r="E475"/>
      <c r="F475"/>
      <c r="G475"/>
      <c r="H475"/>
      <c r="I475"/>
      <c r="J475"/>
      <c r="K475"/>
      <c r="L475"/>
    </row>
    <row r="476" spans="2:12" x14ac:dyDescent="0.25">
      <c r="B476"/>
      <c r="C476"/>
      <c r="D476"/>
      <c r="E476"/>
      <c r="F476"/>
      <c r="G476"/>
      <c r="H476"/>
      <c r="I476"/>
      <c r="J476"/>
      <c r="K476"/>
      <c r="L476"/>
    </row>
    <row r="477" spans="2:12" x14ac:dyDescent="0.25">
      <c r="B477"/>
      <c r="C477"/>
      <c r="D477"/>
      <c r="E477"/>
      <c r="F477"/>
      <c r="G477"/>
      <c r="H477"/>
      <c r="I477"/>
      <c r="J477"/>
      <c r="K477"/>
      <c r="L477"/>
    </row>
    <row r="478" spans="2:12" x14ac:dyDescent="0.25">
      <c r="B478"/>
      <c r="C478"/>
      <c r="D478"/>
      <c r="E478"/>
      <c r="F478"/>
      <c r="G478"/>
      <c r="H478"/>
      <c r="I478"/>
      <c r="J478"/>
      <c r="K478"/>
      <c r="L478"/>
    </row>
    <row r="479" spans="2:12" x14ac:dyDescent="0.25">
      <c r="B479"/>
      <c r="C479"/>
      <c r="D479"/>
      <c r="E479"/>
      <c r="F479"/>
      <c r="G479"/>
      <c r="H479"/>
      <c r="I479"/>
      <c r="J479"/>
      <c r="K479"/>
      <c r="L479"/>
    </row>
    <row r="480" spans="2:12" x14ac:dyDescent="0.25">
      <c r="B480"/>
      <c r="C480"/>
      <c r="D480"/>
      <c r="E480"/>
      <c r="F480"/>
      <c r="G480"/>
      <c r="H480"/>
      <c r="I480"/>
      <c r="J480"/>
      <c r="K480"/>
      <c r="L480"/>
    </row>
    <row r="481" spans="2:12" x14ac:dyDescent="0.25">
      <c r="B481"/>
      <c r="C481"/>
      <c r="D481"/>
      <c r="E481"/>
      <c r="F481"/>
      <c r="G481"/>
      <c r="H481"/>
      <c r="I481"/>
      <c r="J481"/>
      <c r="K481"/>
      <c r="L481"/>
    </row>
    <row r="482" spans="2:12" x14ac:dyDescent="0.25">
      <c r="B482"/>
      <c r="C482"/>
      <c r="D482"/>
      <c r="E482"/>
      <c r="F482"/>
      <c r="G482"/>
      <c r="H482"/>
      <c r="I482"/>
      <c r="J482"/>
      <c r="K482"/>
      <c r="L482"/>
    </row>
    <row r="483" spans="2:12" x14ac:dyDescent="0.25">
      <c r="B483"/>
      <c r="C483"/>
      <c r="D483"/>
      <c r="E483"/>
      <c r="F483"/>
      <c r="G483"/>
      <c r="H483"/>
      <c r="I483"/>
      <c r="J483"/>
      <c r="K483"/>
      <c r="L483"/>
    </row>
    <row r="484" spans="2:12" x14ac:dyDescent="0.25">
      <c r="B484"/>
      <c r="C484"/>
      <c r="D484"/>
      <c r="E484"/>
      <c r="F484"/>
      <c r="G484"/>
      <c r="H484"/>
      <c r="I484"/>
      <c r="J484"/>
      <c r="K484"/>
      <c r="L484"/>
    </row>
    <row r="485" spans="2:12" x14ac:dyDescent="0.25">
      <c r="B485"/>
      <c r="C485"/>
      <c r="D485"/>
      <c r="E485"/>
      <c r="F485"/>
      <c r="G485"/>
      <c r="H485"/>
      <c r="I485"/>
      <c r="J485"/>
      <c r="K485"/>
      <c r="L485"/>
    </row>
    <row r="486" spans="2:12" x14ac:dyDescent="0.25">
      <c r="B486"/>
      <c r="C486"/>
      <c r="D486"/>
      <c r="E486"/>
      <c r="F486"/>
      <c r="G486"/>
      <c r="H486"/>
      <c r="I486"/>
      <c r="J486"/>
      <c r="K486"/>
      <c r="L486"/>
    </row>
    <row r="487" spans="2:12" x14ac:dyDescent="0.25">
      <c r="B487"/>
      <c r="C487"/>
      <c r="D487"/>
      <c r="E487"/>
      <c r="F487"/>
      <c r="G487"/>
      <c r="H487"/>
      <c r="I487"/>
      <c r="J487"/>
      <c r="K487"/>
      <c r="L487"/>
    </row>
    <row r="488" spans="2:12" x14ac:dyDescent="0.25">
      <c r="B488"/>
      <c r="C488"/>
      <c r="D488"/>
      <c r="E488"/>
      <c r="F488"/>
      <c r="G488"/>
      <c r="H488"/>
      <c r="I488"/>
      <c r="J488"/>
      <c r="K488"/>
      <c r="L488"/>
    </row>
    <row r="489" spans="2:12" x14ac:dyDescent="0.25">
      <c r="B489"/>
      <c r="C489"/>
      <c r="D489"/>
      <c r="E489"/>
      <c r="F489"/>
      <c r="G489"/>
      <c r="H489"/>
      <c r="I489"/>
      <c r="J489"/>
      <c r="K489"/>
      <c r="L489"/>
    </row>
    <row r="490" spans="2:12" x14ac:dyDescent="0.25">
      <c r="B490"/>
      <c r="C490"/>
      <c r="D490"/>
      <c r="E490"/>
      <c r="F490"/>
      <c r="G490"/>
      <c r="H490"/>
      <c r="I490"/>
      <c r="J490"/>
      <c r="K490"/>
      <c r="L490"/>
    </row>
    <row r="491" spans="2:12" x14ac:dyDescent="0.25">
      <c r="B491"/>
      <c r="C491"/>
      <c r="D491"/>
      <c r="E491"/>
      <c r="F491"/>
      <c r="G491"/>
      <c r="H491"/>
      <c r="I491"/>
      <c r="J491"/>
      <c r="K491"/>
      <c r="L491"/>
    </row>
    <row r="492" spans="2:12" x14ac:dyDescent="0.25">
      <c r="B492"/>
      <c r="C492"/>
      <c r="D492"/>
      <c r="E492"/>
      <c r="F492"/>
      <c r="G492"/>
      <c r="H492"/>
      <c r="I492"/>
      <c r="J492"/>
      <c r="K492"/>
      <c r="L492"/>
    </row>
    <row r="493" spans="2:12" x14ac:dyDescent="0.25">
      <c r="B493"/>
      <c r="C493"/>
      <c r="D493"/>
      <c r="E493"/>
      <c r="F493"/>
      <c r="G493"/>
      <c r="H493"/>
      <c r="I493"/>
      <c r="J493"/>
      <c r="K493"/>
      <c r="L493"/>
    </row>
    <row r="494" spans="2:12" x14ac:dyDescent="0.25">
      <c r="B494"/>
      <c r="C494"/>
      <c r="D494"/>
      <c r="E494"/>
      <c r="F494"/>
      <c r="G494"/>
      <c r="H494"/>
      <c r="I494"/>
      <c r="J494"/>
      <c r="K494"/>
      <c r="L494"/>
    </row>
    <row r="495" spans="2:12" x14ac:dyDescent="0.25">
      <c r="B495"/>
      <c r="C495"/>
      <c r="D495"/>
      <c r="E495"/>
      <c r="F495"/>
      <c r="G495"/>
      <c r="H495"/>
      <c r="I495"/>
      <c r="J495"/>
      <c r="K495"/>
      <c r="L495"/>
    </row>
    <row r="496" spans="2:12" x14ac:dyDescent="0.25">
      <c r="B496"/>
      <c r="C496"/>
      <c r="D496"/>
      <c r="E496"/>
      <c r="F496"/>
      <c r="G496"/>
      <c r="H496"/>
      <c r="I496"/>
      <c r="J496"/>
      <c r="K496"/>
      <c r="L496"/>
    </row>
    <row r="497" spans="2:12" x14ac:dyDescent="0.25">
      <c r="B497"/>
      <c r="C497"/>
      <c r="D497"/>
      <c r="E497"/>
      <c r="F497"/>
      <c r="G497"/>
      <c r="H497"/>
      <c r="I497"/>
      <c r="J497"/>
      <c r="K497"/>
      <c r="L497"/>
    </row>
    <row r="498" spans="2:12" x14ac:dyDescent="0.25">
      <c r="B498"/>
      <c r="C498"/>
      <c r="D498"/>
      <c r="E498"/>
      <c r="F498"/>
      <c r="G498"/>
      <c r="H498"/>
      <c r="I498"/>
      <c r="J498"/>
      <c r="K498"/>
      <c r="L498"/>
    </row>
    <row r="499" spans="2:12" x14ac:dyDescent="0.25">
      <c r="B499"/>
      <c r="C499"/>
      <c r="D499"/>
      <c r="E499"/>
      <c r="F499"/>
      <c r="G499"/>
      <c r="H499"/>
      <c r="I499"/>
      <c r="J499"/>
      <c r="K499"/>
      <c r="L499"/>
    </row>
    <row r="500" spans="2:12" x14ac:dyDescent="0.25">
      <c r="B500"/>
      <c r="C500"/>
      <c r="D500"/>
      <c r="E500"/>
      <c r="F500"/>
      <c r="G500"/>
      <c r="H500"/>
      <c r="I500"/>
      <c r="J500"/>
      <c r="K500"/>
      <c r="L500"/>
    </row>
    <row r="501" spans="2:12" x14ac:dyDescent="0.25">
      <c r="B501"/>
      <c r="C501"/>
      <c r="D501"/>
      <c r="E501"/>
      <c r="F501"/>
      <c r="G501"/>
      <c r="H501"/>
      <c r="I501"/>
      <c r="J501"/>
      <c r="K501"/>
      <c r="L501"/>
    </row>
    <row r="502" spans="2:12" x14ac:dyDescent="0.25">
      <c r="B502"/>
      <c r="C502"/>
      <c r="D502"/>
      <c r="E502"/>
      <c r="F502"/>
      <c r="G502"/>
      <c r="H502"/>
      <c r="I502"/>
      <c r="J502"/>
      <c r="K502"/>
      <c r="L502"/>
    </row>
    <row r="503" spans="2:12" x14ac:dyDescent="0.25">
      <c r="B503"/>
      <c r="C503"/>
      <c r="D503"/>
      <c r="E503"/>
      <c r="F503"/>
      <c r="G503"/>
      <c r="H503"/>
      <c r="I503"/>
      <c r="J503"/>
      <c r="K503"/>
      <c r="L503"/>
    </row>
    <row r="504" spans="2:12" x14ac:dyDescent="0.25">
      <c r="B504"/>
      <c r="C504"/>
      <c r="D504"/>
      <c r="E504"/>
      <c r="F504"/>
      <c r="G504"/>
      <c r="H504"/>
      <c r="I504"/>
      <c r="J504"/>
      <c r="K504"/>
      <c r="L504"/>
    </row>
    <row r="505" spans="2:12" x14ac:dyDescent="0.25">
      <c r="B505"/>
      <c r="C505"/>
      <c r="D505"/>
      <c r="E505"/>
      <c r="F505"/>
      <c r="G505"/>
      <c r="H505"/>
      <c r="I505"/>
      <c r="J505"/>
      <c r="K505"/>
      <c r="L505"/>
    </row>
    <row r="506" spans="2:12" x14ac:dyDescent="0.25">
      <c r="B506"/>
      <c r="C506"/>
      <c r="D506"/>
      <c r="E506"/>
      <c r="F506"/>
      <c r="G506"/>
      <c r="H506"/>
      <c r="I506"/>
      <c r="J506"/>
      <c r="K506"/>
      <c r="L506"/>
    </row>
    <row r="507" spans="2:12" x14ac:dyDescent="0.25">
      <c r="B507"/>
      <c r="C507"/>
      <c r="D507"/>
      <c r="E507"/>
      <c r="F507"/>
      <c r="G507"/>
      <c r="H507"/>
      <c r="I507"/>
      <c r="J507"/>
      <c r="K507"/>
      <c r="L507"/>
    </row>
    <row r="508" spans="2:12" x14ac:dyDescent="0.25">
      <c r="B508"/>
      <c r="C508"/>
      <c r="D508"/>
      <c r="E508"/>
      <c r="F508"/>
      <c r="G508"/>
      <c r="H508"/>
      <c r="I508"/>
      <c r="J508"/>
      <c r="K508"/>
      <c r="L508"/>
    </row>
    <row r="509" spans="2:12" x14ac:dyDescent="0.25">
      <c r="B509"/>
      <c r="C509"/>
      <c r="D509"/>
      <c r="E509"/>
      <c r="F509"/>
      <c r="G509"/>
      <c r="H509"/>
      <c r="I509"/>
      <c r="J509"/>
      <c r="K509"/>
      <c r="L509"/>
    </row>
    <row r="510" spans="2:12" x14ac:dyDescent="0.25">
      <c r="B510"/>
      <c r="C510"/>
      <c r="D510"/>
      <c r="E510"/>
      <c r="F510"/>
      <c r="G510"/>
      <c r="H510"/>
      <c r="I510"/>
      <c r="J510"/>
      <c r="K510"/>
      <c r="L510"/>
    </row>
    <row r="511" spans="2:12" x14ac:dyDescent="0.25">
      <c r="B511"/>
      <c r="C511"/>
      <c r="D511"/>
      <c r="E511"/>
      <c r="F511"/>
      <c r="G511"/>
      <c r="H511"/>
      <c r="I511"/>
      <c r="J511"/>
      <c r="K511"/>
      <c r="L511"/>
    </row>
    <row r="512" spans="2:12" x14ac:dyDescent="0.25">
      <c r="B512"/>
      <c r="C512"/>
      <c r="D512"/>
      <c r="E512"/>
      <c r="F512"/>
      <c r="G512"/>
      <c r="H512"/>
      <c r="I512"/>
      <c r="J512"/>
      <c r="K512"/>
      <c r="L512"/>
    </row>
    <row r="513" spans="2:12" x14ac:dyDescent="0.25">
      <c r="B513"/>
      <c r="C513"/>
      <c r="D513"/>
      <c r="E513"/>
      <c r="F513"/>
      <c r="G513"/>
      <c r="H513"/>
      <c r="I513"/>
      <c r="J513"/>
      <c r="K513"/>
      <c r="L513"/>
    </row>
    <row r="514" spans="2:12" x14ac:dyDescent="0.25">
      <c r="B514"/>
      <c r="C514"/>
      <c r="D514"/>
      <c r="E514"/>
      <c r="F514"/>
      <c r="G514"/>
      <c r="H514"/>
      <c r="I514"/>
      <c r="J514"/>
      <c r="K514"/>
      <c r="L514"/>
    </row>
    <row r="515" spans="2:12" x14ac:dyDescent="0.25">
      <c r="B515"/>
      <c r="C515"/>
      <c r="D515"/>
      <c r="E515"/>
      <c r="F515"/>
      <c r="G515"/>
      <c r="H515"/>
      <c r="I515"/>
      <c r="J515"/>
      <c r="K515"/>
      <c r="L515"/>
    </row>
    <row r="516" spans="2:12" x14ac:dyDescent="0.25">
      <c r="B516"/>
      <c r="C516"/>
      <c r="D516"/>
      <c r="E516"/>
      <c r="F516"/>
      <c r="G516"/>
      <c r="H516"/>
      <c r="I516"/>
      <c r="J516"/>
      <c r="K516"/>
      <c r="L516"/>
    </row>
    <row r="517" spans="2:12" x14ac:dyDescent="0.25">
      <c r="B517"/>
      <c r="C517"/>
      <c r="D517"/>
      <c r="E517"/>
      <c r="F517"/>
      <c r="G517"/>
      <c r="H517"/>
      <c r="I517"/>
      <c r="J517"/>
      <c r="K517"/>
      <c r="L517"/>
    </row>
    <row r="518" spans="2:12" x14ac:dyDescent="0.25">
      <c r="B518"/>
      <c r="C518"/>
      <c r="D518"/>
      <c r="E518"/>
      <c r="F518"/>
      <c r="G518"/>
      <c r="H518"/>
      <c r="I518"/>
      <c r="J518"/>
      <c r="K518"/>
      <c r="L518"/>
    </row>
    <row r="519" spans="2:12" x14ac:dyDescent="0.25">
      <c r="B519"/>
      <c r="C519"/>
      <c r="D519"/>
      <c r="E519"/>
      <c r="F519"/>
      <c r="G519"/>
      <c r="H519"/>
      <c r="I519"/>
      <c r="J519"/>
      <c r="K519"/>
      <c r="L519"/>
    </row>
    <row r="520" spans="2:12" x14ac:dyDescent="0.25">
      <c r="B520"/>
      <c r="C520"/>
      <c r="D520"/>
      <c r="E520"/>
      <c r="F520"/>
      <c r="G520"/>
      <c r="H520"/>
      <c r="I520"/>
      <c r="J520"/>
      <c r="K520"/>
      <c r="L520"/>
    </row>
    <row r="521" spans="2:12" x14ac:dyDescent="0.25">
      <c r="B521"/>
      <c r="C521"/>
      <c r="D521"/>
      <c r="E521"/>
      <c r="F521"/>
      <c r="G521"/>
      <c r="H521"/>
      <c r="I521"/>
      <c r="J521"/>
      <c r="K521"/>
      <c r="L521"/>
    </row>
    <row r="522" spans="2:12" x14ac:dyDescent="0.25">
      <c r="B522"/>
      <c r="C522"/>
      <c r="D522"/>
      <c r="E522"/>
      <c r="F522"/>
      <c r="G522"/>
      <c r="H522"/>
      <c r="I522"/>
      <c r="J522"/>
      <c r="K522"/>
      <c r="L522"/>
    </row>
    <row r="523" spans="2:12" x14ac:dyDescent="0.25">
      <c r="B523"/>
      <c r="C523"/>
      <c r="D523"/>
      <c r="E523"/>
      <c r="F523"/>
      <c r="G523"/>
      <c r="H523"/>
      <c r="I523"/>
      <c r="J523"/>
      <c r="K523"/>
      <c r="L523"/>
    </row>
    <row r="524" spans="2:12" x14ac:dyDescent="0.25">
      <c r="B524"/>
      <c r="C524"/>
      <c r="D524"/>
      <c r="E524"/>
      <c r="F524"/>
      <c r="G524"/>
      <c r="H524"/>
      <c r="I524"/>
      <c r="J524"/>
      <c r="K524"/>
      <c r="L524"/>
    </row>
    <row r="525" spans="2:12" x14ac:dyDescent="0.25">
      <c r="B525"/>
      <c r="C525"/>
      <c r="D525"/>
      <c r="E525"/>
      <c r="F525"/>
      <c r="G525"/>
      <c r="H525"/>
      <c r="I525"/>
      <c r="J525"/>
      <c r="K525"/>
      <c r="L525"/>
    </row>
    <row r="526" spans="2:12" x14ac:dyDescent="0.25">
      <c r="B526"/>
      <c r="C526"/>
      <c r="D526"/>
      <c r="E526"/>
      <c r="F526"/>
      <c r="G526"/>
      <c r="H526"/>
      <c r="I526"/>
      <c r="J526"/>
      <c r="K526"/>
      <c r="L526"/>
    </row>
    <row r="527" spans="2:12" x14ac:dyDescent="0.25">
      <c r="B527"/>
      <c r="C527"/>
      <c r="D527"/>
      <c r="E527"/>
      <c r="F527"/>
      <c r="G527"/>
      <c r="H527"/>
      <c r="I527"/>
      <c r="J527"/>
      <c r="K527"/>
      <c r="L527"/>
    </row>
    <row r="528" spans="2:12" x14ac:dyDescent="0.25">
      <c r="B528"/>
      <c r="C528"/>
      <c r="D528"/>
      <c r="E528"/>
      <c r="F528"/>
      <c r="G528"/>
      <c r="H528"/>
      <c r="I528"/>
      <c r="J528"/>
      <c r="K528"/>
      <c r="L528"/>
    </row>
    <row r="529" spans="2:12" x14ac:dyDescent="0.25">
      <c r="B529"/>
      <c r="C529"/>
      <c r="D529"/>
      <c r="E529"/>
      <c r="F529"/>
      <c r="G529"/>
      <c r="H529"/>
      <c r="I529"/>
      <c r="J529"/>
      <c r="K529"/>
      <c r="L529"/>
    </row>
    <row r="530" spans="2:12" x14ac:dyDescent="0.25">
      <c r="B530"/>
      <c r="C530"/>
      <c r="D530"/>
      <c r="E530"/>
      <c r="F530"/>
      <c r="G530"/>
      <c r="H530"/>
      <c r="I530"/>
      <c r="J530"/>
      <c r="K530"/>
      <c r="L530"/>
    </row>
    <row r="531" spans="2:12" x14ac:dyDescent="0.25">
      <c r="B531"/>
      <c r="C531"/>
      <c r="D531"/>
      <c r="E531"/>
      <c r="F531"/>
      <c r="G531"/>
      <c r="H531"/>
      <c r="I531"/>
      <c r="J531"/>
      <c r="K531"/>
      <c r="L531"/>
    </row>
    <row r="532" spans="2:12" x14ac:dyDescent="0.25">
      <c r="B532"/>
      <c r="C532"/>
      <c r="D532"/>
      <c r="E532"/>
      <c r="F532"/>
      <c r="G532"/>
      <c r="H532"/>
      <c r="I532"/>
      <c r="J532"/>
      <c r="K532"/>
      <c r="L532"/>
    </row>
    <row r="533" spans="2:12" x14ac:dyDescent="0.25">
      <c r="B533"/>
      <c r="C533"/>
      <c r="D533"/>
      <c r="E533"/>
      <c r="F533"/>
      <c r="G533"/>
      <c r="H533"/>
      <c r="I533"/>
      <c r="J533"/>
      <c r="K533"/>
      <c r="L533"/>
    </row>
    <row r="534" spans="2:12" x14ac:dyDescent="0.25">
      <c r="B534"/>
      <c r="C534"/>
      <c r="D534"/>
      <c r="E534"/>
      <c r="F534"/>
      <c r="G534"/>
      <c r="H534"/>
      <c r="I534"/>
      <c r="J534"/>
      <c r="K534"/>
      <c r="L534"/>
    </row>
    <row r="535" spans="2:12" x14ac:dyDescent="0.25">
      <c r="B535"/>
      <c r="C535"/>
      <c r="D535"/>
      <c r="E535"/>
      <c r="F535"/>
      <c r="G535"/>
      <c r="H535"/>
      <c r="I535"/>
      <c r="J535"/>
      <c r="K535"/>
      <c r="L535"/>
    </row>
    <row r="536" spans="2:12" x14ac:dyDescent="0.25">
      <c r="B536"/>
      <c r="C536"/>
      <c r="D536"/>
      <c r="E536"/>
      <c r="F536"/>
      <c r="G536"/>
      <c r="H536"/>
      <c r="I536"/>
      <c r="J536"/>
      <c r="K536"/>
      <c r="L536"/>
    </row>
    <row r="537" spans="2:12" x14ac:dyDescent="0.25">
      <c r="B537"/>
      <c r="C537"/>
      <c r="D537"/>
      <c r="E537"/>
      <c r="F537"/>
      <c r="G537"/>
      <c r="H537"/>
      <c r="I537"/>
      <c r="J537"/>
      <c r="K537"/>
      <c r="L537"/>
    </row>
    <row r="538" spans="2:12" x14ac:dyDescent="0.25">
      <c r="B538"/>
      <c r="C538"/>
      <c r="D538"/>
      <c r="E538"/>
      <c r="F538"/>
      <c r="G538"/>
      <c r="H538"/>
      <c r="I538"/>
      <c r="J538"/>
      <c r="K538"/>
      <c r="L538"/>
    </row>
    <row r="539" spans="2:12" x14ac:dyDescent="0.25">
      <c r="B539"/>
      <c r="C539"/>
      <c r="D539"/>
      <c r="E539"/>
      <c r="F539"/>
      <c r="G539"/>
      <c r="H539"/>
      <c r="I539"/>
      <c r="J539"/>
      <c r="K539"/>
      <c r="L539"/>
    </row>
    <row r="540" spans="2:12" x14ac:dyDescent="0.25">
      <c r="B540"/>
      <c r="C540"/>
      <c r="D540"/>
      <c r="E540"/>
      <c r="F540"/>
      <c r="G540"/>
      <c r="H540"/>
      <c r="I540"/>
      <c r="J540"/>
      <c r="K540"/>
      <c r="L540"/>
    </row>
    <row r="541" spans="2:12" x14ac:dyDescent="0.25">
      <c r="B541"/>
      <c r="C541"/>
      <c r="D541"/>
      <c r="E541"/>
      <c r="F541"/>
      <c r="G541"/>
      <c r="H541"/>
      <c r="I541"/>
      <c r="J541"/>
      <c r="K541"/>
      <c r="L541"/>
    </row>
    <row r="542" spans="2:12" x14ac:dyDescent="0.25">
      <c r="B542"/>
      <c r="C542"/>
      <c r="D542"/>
      <c r="E542"/>
      <c r="F542"/>
      <c r="G542"/>
      <c r="H542"/>
      <c r="I542"/>
      <c r="J542"/>
      <c r="K542"/>
      <c r="L542"/>
    </row>
    <row r="543" spans="2:12" x14ac:dyDescent="0.25">
      <c r="B543"/>
      <c r="C543"/>
      <c r="D543"/>
      <c r="E543"/>
      <c r="F543"/>
      <c r="G543"/>
      <c r="H543"/>
      <c r="I543"/>
      <c r="J543"/>
      <c r="K543"/>
      <c r="L543"/>
    </row>
    <row r="544" spans="2:12" x14ac:dyDescent="0.25">
      <c r="B544"/>
      <c r="C544"/>
      <c r="D544"/>
      <c r="E544"/>
      <c r="F544"/>
      <c r="G544"/>
      <c r="H544"/>
      <c r="I544"/>
      <c r="J544"/>
      <c r="K544"/>
      <c r="L544"/>
    </row>
    <row r="545" spans="2:12" x14ac:dyDescent="0.25">
      <c r="B545"/>
      <c r="C545"/>
      <c r="D545"/>
      <c r="E545"/>
      <c r="F545"/>
      <c r="G545"/>
      <c r="H545"/>
      <c r="I545"/>
      <c r="J545"/>
      <c r="K545"/>
      <c r="L545"/>
    </row>
    <row r="546" spans="2:12" x14ac:dyDescent="0.25">
      <c r="B546"/>
      <c r="C546"/>
      <c r="D546"/>
      <c r="E546"/>
      <c r="F546"/>
      <c r="G546"/>
      <c r="H546"/>
      <c r="I546"/>
      <c r="J546"/>
      <c r="K546"/>
      <c r="L546"/>
    </row>
    <row r="547" spans="2:12" x14ac:dyDescent="0.25">
      <c r="B547"/>
      <c r="C547"/>
      <c r="D547"/>
      <c r="E547"/>
      <c r="F547"/>
      <c r="G547"/>
      <c r="H547"/>
      <c r="I547"/>
      <c r="J547"/>
      <c r="K547"/>
      <c r="L547"/>
    </row>
    <row r="548" spans="2:12" x14ac:dyDescent="0.25">
      <c r="B548"/>
      <c r="C548"/>
      <c r="D548"/>
      <c r="E548"/>
      <c r="F548"/>
      <c r="G548"/>
      <c r="H548"/>
      <c r="I548"/>
      <c r="J548"/>
      <c r="K548"/>
      <c r="L548"/>
    </row>
    <row r="549" spans="2:12" x14ac:dyDescent="0.25">
      <c r="B549"/>
      <c r="C549"/>
      <c r="D549"/>
      <c r="E549"/>
      <c r="F549"/>
      <c r="G549"/>
      <c r="H549"/>
      <c r="I549"/>
      <c r="J549"/>
      <c r="K549"/>
      <c r="L549"/>
    </row>
    <row r="550" spans="2:12" x14ac:dyDescent="0.25">
      <c r="B550"/>
      <c r="C550"/>
      <c r="D550"/>
      <c r="E550"/>
      <c r="F550"/>
      <c r="G550"/>
      <c r="H550"/>
      <c r="I550"/>
      <c r="J550"/>
      <c r="K550"/>
      <c r="L550"/>
    </row>
    <row r="551" spans="2:12" x14ac:dyDescent="0.25">
      <c r="B551"/>
      <c r="C551"/>
      <c r="D551"/>
      <c r="E551"/>
      <c r="F551"/>
      <c r="G551"/>
      <c r="H551"/>
      <c r="I551"/>
      <c r="J551"/>
      <c r="K551"/>
      <c r="L551"/>
    </row>
    <row r="552" spans="2:12" x14ac:dyDescent="0.25">
      <c r="B552"/>
      <c r="C552"/>
      <c r="D552"/>
      <c r="E552"/>
      <c r="F552"/>
      <c r="G552"/>
      <c r="H552"/>
      <c r="I552"/>
      <c r="J552"/>
      <c r="K552"/>
      <c r="L552"/>
    </row>
    <row r="553" spans="2:12" x14ac:dyDescent="0.25">
      <c r="B553"/>
      <c r="C553"/>
      <c r="D553"/>
      <c r="E553"/>
      <c r="F553"/>
      <c r="G553"/>
      <c r="H553"/>
      <c r="I553"/>
      <c r="J553"/>
      <c r="K553"/>
      <c r="L553"/>
    </row>
    <row r="554" spans="2:12" x14ac:dyDescent="0.25">
      <c r="B554"/>
      <c r="C554"/>
      <c r="D554"/>
      <c r="E554"/>
      <c r="F554"/>
      <c r="G554"/>
      <c r="H554"/>
      <c r="I554"/>
      <c r="J554"/>
      <c r="K554"/>
      <c r="L554"/>
    </row>
    <row r="555" spans="2:12" x14ac:dyDescent="0.25">
      <c r="B555"/>
      <c r="C555"/>
      <c r="D555"/>
      <c r="E555"/>
      <c r="F555"/>
      <c r="G555"/>
      <c r="H555"/>
      <c r="I555"/>
      <c r="J555"/>
      <c r="K555"/>
      <c r="L555"/>
    </row>
    <row r="556" spans="2:12" x14ac:dyDescent="0.25">
      <c r="B556"/>
      <c r="C556"/>
      <c r="D556"/>
      <c r="E556"/>
      <c r="F556"/>
      <c r="G556"/>
      <c r="H556"/>
      <c r="I556"/>
      <c r="J556"/>
      <c r="K556"/>
      <c r="L556"/>
    </row>
    <row r="557" spans="2:12" x14ac:dyDescent="0.25">
      <c r="B557"/>
      <c r="C557"/>
      <c r="D557"/>
      <c r="E557"/>
      <c r="F557"/>
      <c r="G557"/>
      <c r="H557"/>
      <c r="I557"/>
      <c r="J557"/>
      <c r="K557"/>
      <c r="L557"/>
    </row>
    <row r="558" spans="2:12" x14ac:dyDescent="0.25">
      <c r="B558"/>
      <c r="C558"/>
      <c r="D558"/>
      <c r="E558"/>
      <c r="F558"/>
      <c r="G558"/>
      <c r="H558"/>
      <c r="I558"/>
      <c r="J558"/>
      <c r="K558"/>
      <c r="L558"/>
    </row>
    <row r="559" spans="2:12" x14ac:dyDescent="0.25">
      <c r="B559"/>
      <c r="C559"/>
      <c r="D559"/>
      <c r="E559"/>
      <c r="F559"/>
      <c r="G559"/>
      <c r="H559"/>
      <c r="I559"/>
      <c r="J559"/>
      <c r="K559"/>
      <c r="L559"/>
    </row>
    <row r="560" spans="2:12" x14ac:dyDescent="0.25">
      <c r="B560"/>
      <c r="C560"/>
      <c r="D560"/>
      <c r="E560"/>
      <c r="F560"/>
      <c r="G560"/>
      <c r="H560"/>
      <c r="I560"/>
      <c r="J560"/>
      <c r="K560"/>
      <c r="L560"/>
    </row>
    <row r="561" spans="2:12" x14ac:dyDescent="0.25">
      <c r="B561"/>
      <c r="C561"/>
      <c r="D561"/>
      <c r="E561"/>
      <c r="F561"/>
      <c r="G561"/>
      <c r="H561"/>
      <c r="I561"/>
      <c r="J561"/>
      <c r="K561"/>
      <c r="L561"/>
    </row>
    <row r="562" spans="2:12" x14ac:dyDescent="0.25">
      <c r="B562"/>
      <c r="C562"/>
      <c r="D562"/>
      <c r="E562"/>
      <c r="F562"/>
      <c r="G562"/>
      <c r="H562"/>
      <c r="I562"/>
      <c r="J562"/>
      <c r="K562"/>
      <c r="L562"/>
    </row>
    <row r="563" spans="2:12" x14ac:dyDescent="0.25">
      <c r="B563"/>
      <c r="C563"/>
      <c r="D563"/>
      <c r="E563"/>
      <c r="F563"/>
      <c r="G563"/>
      <c r="H563"/>
      <c r="I563"/>
      <c r="J563"/>
      <c r="K563"/>
      <c r="L563"/>
    </row>
    <row r="564" spans="2:12" x14ac:dyDescent="0.25">
      <c r="B564"/>
      <c r="C564"/>
      <c r="D564"/>
      <c r="E564"/>
      <c r="F564"/>
      <c r="G564"/>
      <c r="H564"/>
      <c r="I564"/>
      <c r="J564"/>
      <c r="K564"/>
      <c r="L564"/>
    </row>
    <row r="565" spans="2:12" x14ac:dyDescent="0.25">
      <c r="B565"/>
      <c r="C565"/>
      <c r="D565"/>
      <c r="E565"/>
      <c r="F565"/>
      <c r="G565"/>
      <c r="H565"/>
      <c r="I565"/>
      <c r="J565"/>
      <c r="K565"/>
      <c r="L565"/>
    </row>
    <row r="566" spans="2:12" x14ac:dyDescent="0.25">
      <c r="B566"/>
      <c r="C566"/>
      <c r="D566"/>
      <c r="E566"/>
      <c r="F566"/>
      <c r="G566"/>
      <c r="H566"/>
      <c r="I566"/>
      <c r="J566"/>
      <c r="K566"/>
      <c r="L566"/>
    </row>
    <row r="567" spans="2:12" x14ac:dyDescent="0.25">
      <c r="B567"/>
      <c r="C567"/>
      <c r="D567"/>
      <c r="E567"/>
      <c r="F567"/>
      <c r="G567"/>
      <c r="H567"/>
      <c r="I567"/>
      <c r="J567"/>
      <c r="K567"/>
      <c r="L567"/>
    </row>
    <row r="568" spans="2:12" x14ac:dyDescent="0.25">
      <c r="B568"/>
      <c r="C568"/>
      <c r="D568"/>
      <c r="E568"/>
      <c r="F568"/>
      <c r="G568"/>
      <c r="H568"/>
      <c r="I568"/>
      <c r="J568"/>
      <c r="K568"/>
      <c r="L568"/>
    </row>
    <row r="569" spans="2:12" x14ac:dyDescent="0.25">
      <c r="B569"/>
      <c r="C569"/>
      <c r="D569"/>
      <c r="E569"/>
      <c r="F569"/>
      <c r="G569"/>
      <c r="H569"/>
      <c r="I569"/>
      <c r="J569"/>
      <c r="K569"/>
      <c r="L569"/>
    </row>
    <row r="570" spans="2:12" x14ac:dyDescent="0.25">
      <c r="B570"/>
      <c r="C570"/>
      <c r="D570"/>
      <c r="E570"/>
      <c r="F570"/>
      <c r="G570"/>
      <c r="H570"/>
      <c r="I570"/>
      <c r="J570"/>
      <c r="K570"/>
      <c r="L570"/>
    </row>
    <row r="571" spans="2:12" x14ac:dyDescent="0.25">
      <c r="B571"/>
      <c r="C571"/>
      <c r="D571"/>
      <c r="E571"/>
      <c r="F571"/>
      <c r="G571"/>
      <c r="H571"/>
      <c r="I571"/>
      <c r="J571"/>
      <c r="K571"/>
      <c r="L571"/>
    </row>
    <row r="572" spans="2:12" x14ac:dyDescent="0.25">
      <c r="B572"/>
      <c r="C572"/>
      <c r="D572"/>
      <c r="E572"/>
      <c r="F572"/>
      <c r="G572"/>
      <c r="H572"/>
      <c r="I572"/>
      <c r="J572"/>
      <c r="K572"/>
      <c r="L572"/>
    </row>
    <row r="573" spans="2:12" x14ac:dyDescent="0.25">
      <c r="B573"/>
      <c r="C573"/>
      <c r="D573"/>
      <c r="E573"/>
      <c r="F573"/>
      <c r="G573"/>
      <c r="H573"/>
      <c r="I573"/>
      <c r="J573"/>
      <c r="K573"/>
      <c r="L573"/>
    </row>
    <row r="574" spans="2:12" x14ac:dyDescent="0.25">
      <c r="B574"/>
      <c r="C574"/>
      <c r="D574"/>
      <c r="E574"/>
      <c r="F574"/>
      <c r="G574"/>
      <c r="H574"/>
      <c r="I574"/>
      <c r="J574"/>
      <c r="K574"/>
      <c r="L574"/>
    </row>
    <row r="575" spans="2:12" x14ac:dyDescent="0.25">
      <c r="B575"/>
      <c r="C575"/>
      <c r="D575"/>
      <c r="E575"/>
      <c r="F575"/>
      <c r="G575"/>
      <c r="H575"/>
      <c r="I575"/>
      <c r="J575"/>
      <c r="K575"/>
      <c r="L575"/>
    </row>
    <row r="576" spans="2:12" x14ac:dyDescent="0.25">
      <c r="B576"/>
      <c r="C576"/>
      <c r="D576"/>
      <c r="E576"/>
      <c r="F576"/>
      <c r="G576"/>
      <c r="H576"/>
      <c r="I576"/>
      <c r="J576"/>
      <c r="K576"/>
      <c r="L576"/>
    </row>
    <row r="577" spans="2:12" x14ac:dyDescent="0.25">
      <c r="B577"/>
      <c r="C577"/>
      <c r="D577"/>
      <c r="E577"/>
      <c r="F577"/>
      <c r="G577"/>
      <c r="H577"/>
      <c r="I577"/>
      <c r="J577"/>
      <c r="K577"/>
      <c r="L577"/>
    </row>
    <row r="578" spans="2:12" x14ac:dyDescent="0.25">
      <c r="B578"/>
      <c r="C578"/>
      <c r="D578"/>
      <c r="E578"/>
      <c r="F578"/>
      <c r="G578"/>
      <c r="H578"/>
      <c r="I578"/>
      <c r="J578"/>
      <c r="K578"/>
      <c r="L578"/>
    </row>
    <row r="579" spans="2:12" x14ac:dyDescent="0.25">
      <c r="B579"/>
      <c r="C579"/>
      <c r="D579"/>
      <c r="E579"/>
      <c r="F579"/>
      <c r="G579"/>
      <c r="H579"/>
      <c r="I579"/>
      <c r="J579"/>
      <c r="K579"/>
      <c r="L579"/>
    </row>
    <row r="580" spans="2:12" x14ac:dyDescent="0.25">
      <c r="B580"/>
      <c r="C580"/>
      <c r="D580"/>
      <c r="E580"/>
      <c r="F580"/>
      <c r="G580"/>
      <c r="H580"/>
      <c r="I580"/>
      <c r="J580"/>
      <c r="K580"/>
      <c r="L580"/>
    </row>
    <row r="581" spans="2:12" x14ac:dyDescent="0.25">
      <c r="B581"/>
      <c r="C581"/>
      <c r="D581"/>
      <c r="E581"/>
      <c r="F581"/>
      <c r="G581"/>
      <c r="H581"/>
      <c r="I581"/>
      <c r="J581"/>
      <c r="K581"/>
      <c r="L581"/>
    </row>
    <row r="582" spans="2:12" x14ac:dyDescent="0.25">
      <c r="B582"/>
      <c r="C582"/>
      <c r="D582"/>
      <c r="E582"/>
      <c r="F582"/>
      <c r="G582"/>
      <c r="H582"/>
      <c r="I582"/>
      <c r="J582"/>
      <c r="K582"/>
      <c r="L582"/>
    </row>
    <row r="583" spans="2:12" x14ac:dyDescent="0.25">
      <c r="B583"/>
      <c r="C583"/>
      <c r="D583"/>
      <c r="E583"/>
      <c r="F583"/>
      <c r="G583"/>
      <c r="H583"/>
      <c r="I583"/>
      <c r="J583"/>
      <c r="K583"/>
      <c r="L583"/>
    </row>
    <row r="584" spans="2:12" x14ac:dyDescent="0.25">
      <c r="B584"/>
      <c r="C584"/>
      <c r="D584"/>
      <c r="E584"/>
      <c r="F584"/>
      <c r="G584"/>
      <c r="H584"/>
      <c r="I584"/>
      <c r="J584"/>
      <c r="K584"/>
      <c r="L584"/>
    </row>
    <row r="585" spans="2:12" x14ac:dyDescent="0.25">
      <c r="B585"/>
      <c r="C585"/>
      <c r="D585"/>
      <c r="E585"/>
      <c r="F585"/>
      <c r="G585"/>
      <c r="H585"/>
      <c r="I585"/>
      <c r="J585"/>
      <c r="K585"/>
      <c r="L585"/>
    </row>
    <row r="586" spans="2:12" x14ac:dyDescent="0.25">
      <c r="B586"/>
      <c r="C586"/>
      <c r="D586"/>
      <c r="E586"/>
      <c r="F586"/>
      <c r="G586"/>
      <c r="H586"/>
      <c r="I586"/>
      <c r="J586"/>
      <c r="K586"/>
      <c r="L586"/>
    </row>
    <row r="587" spans="2:12" x14ac:dyDescent="0.25">
      <c r="B587"/>
      <c r="C587"/>
      <c r="D587"/>
      <c r="E587"/>
      <c r="F587"/>
      <c r="G587"/>
      <c r="H587"/>
      <c r="I587"/>
      <c r="J587"/>
      <c r="K587"/>
      <c r="L587"/>
    </row>
    <row r="588" spans="2:12" x14ac:dyDescent="0.25">
      <c r="B588"/>
      <c r="C588"/>
      <c r="D588"/>
      <c r="E588"/>
      <c r="F588"/>
      <c r="G588"/>
      <c r="H588"/>
      <c r="I588"/>
      <c r="J588"/>
      <c r="K588"/>
      <c r="L588"/>
    </row>
    <row r="589" spans="2:12" x14ac:dyDescent="0.25">
      <c r="B589"/>
      <c r="C589"/>
      <c r="D589"/>
      <c r="E589"/>
      <c r="F589"/>
      <c r="G589"/>
      <c r="H589"/>
      <c r="I589"/>
      <c r="J589"/>
      <c r="K589"/>
      <c r="L589"/>
    </row>
    <row r="590" spans="2:12" x14ac:dyDescent="0.25">
      <c r="B590"/>
      <c r="C590"/>
      <c r="D590"/>
      <c r="E590"/>
      <c r="F590"/>
      <c r="G590"/>
      <c r="H590"/>
      <c r="I590"/>
      <c r="J590"/>
      <c r="K590"/>
      <c r="L590"/>
    </row>
    <row r="591" spans="2:12" x14ac:dyDescent="0.25">
      <c r="B591"/>
      <c r="C591"/>
      <c r="D591"/>
      <c r="E591"/>
      <c r="F591"/>
      <c r="G591"/>
      <c r="H591"/>
      <c r="I591"/>
      <c r="J591"/>
      <c r="K591"/>
      <c r="L591"/>
    </row>
    <row r="592" spans="2:12" x14ac:dyDescent="0.25">
      <c r="B592"/>
      <c r="C592"/>
      <c r="D592"/>
      <c r="E592"/>
      <c r="F592"/>
      <c r="G592"/>
      <c r="H592"/>
      <c r="I592"/>
      <c r="J592"/>
      <c r="K592"/>
      <c r="L592"/>
    </row>
    <row r="593" spans="2:12" x14ac:dyDescent="0.25">
      <c r="B593"/>
      <c r="C593"/>
      <c r="D593"/>
      <c r="E593"/>
      <c r="F593"/>
      <c r="G593"/>
      <c r="H593"/>
      <c r="I593"/>
      <c r="J593"/>
      <c r="K593"/>
      <c r="L593"/>
    </row>
    <row r="594" spans="2:12" x14ac:dyDescent="0.25">
      <c r="B594"/>
      <c r="C594"/>
      <c r="D594"/>
      <c r="E594"/>
      <c r="F594"/>
      <c r="G594"/>
      <c r="H594"/>
      <c r="I594"/>
      <c r="J594"/>
      <c r="K594"/>
      <c r="L594"/>
    </row>
    <row r="595" spans="2:12" x14ac:dyDescent="0.25">
      <c r="B595"/>
      <c r="C595"/>
      <c r="D595"/>
      <c r="E595"/>
      <c r="F595"/>
      <c r="G595"/>
      <c r="H595"/>
      <c r="I595"/>
      <c r="J595"/>
      <c r="K595"/>
      <c r="L595"/>
    </row>
    <row r="596" spans="2:12" x14ac:dyDescent="0.25">
      <c r="B596"/>
      <c r="C596"/>
      <c r="D596"/>
      <c r="E596"/>
      <c r="F596"/>
      <c r="G596"/>
      <c r="H596"/>
      <c r="I596"/>
      <c r="J596"/>
      <c r="K596"/>
      <c r="L596"/>
    </row>
    <row r="597" spans="2:12" x14ac:dyDescent="0.25">
      <c r="B597"/>
      <c r="C597"/>
      <c r="D597"/>
      <c r="E597"/>
      <c r="F597"/>
      <c r="G597"/>
      <c r="H597"/>
      <c r="I597"/>
      <c r="J597"/>
      <c r="K597"/>
      <c r="L597"/>
    </row>
    <row r="598" spans="2:12" x14ac:dyDescent="0.25">
      <c r="B598"/>
      <c r="C598"/>
      <c r="D598"/>
      <c r="E598"/>
      <c r="F598"/>
      <c r="G598"/>
      <c r="H598"/>
      <c r="I598"/>
      <c r="J598"/>
      <c r="K598"/>
      <c r="L598"/>
    </row>
    <row r="599" spans="2:12" x14ac:dyDescent="0.25">
      <c r="B599"/>
      <c r="C599"/>
      <c r="D599"/>
      <c r="E599"/>
      <c r="F599"/>
      <c r="G599"/>
      <c r="H599"/>
      <c r="I599"/>
      <c r="J599"/>
      <c r="K599"/>
      <c r="L599"/>
    </row>
    <row r="600" spans="2:12" x14ac:dyDescent="0.25">
      <c r="B600"/>
      <c r="C600"/>
      <c r="D600"/>
      <c r="E600"/>
      <c r="F600"/>
      <c r="G600"/>
      <c r="H600"/>
      <c r="I600"/>
      <c r="J600"/>
      <c r="K600"/>
      <c r="L600"/>
    </row>
    <row r="601" spans="2:12" x14ac:dyDescent="0.25">
      <c r="B601"/>
      <c r="C601"/>
      <c r="D601"/>
      <c r="E601"/>
      <c r="F601"/>
      <c r="G601"/>
      <c r="H601"/>
      <c r="I601"/>
      <c r="J601"/>
      <c r="K601"/>
      <c r="L601"/>
    </row>
    <row r="602" spans="2:12" x14ac:dyDescent="0.25">
      <c r="B602"/>
      <c r="C602"/>
      <c r="D602"/>
      <c r="E602"/>
      <c r="F602"/>
      <c r="G602"/>
      <c r="H602"/>
      <c r="I602"/>
      <c r="J602"/>
      <c r="K602"/>
      <c r="L602"/>
    </row>
    <row r="603" spans="2:12" x14ac:dyDescent="0.25">
      <c r="B603"/>
      <c r="C603"/>
      <c r="D603"/>
      <c r="E603"/>
      <c r="F603"/>
      <c r="G603"/>
      <c r="H603"/>
      <c r="I603"/>
      <c r="J603"/>
      <c r="K603"/>
      <c r="L603"/>
    </row>
    <row r="604" spans="2:12" x14ac:dyDescent="0.25">
      <c r="B604"/>
      <c r="C604"/>
      <c r="D604"/>
      <c r="E604"/>
      <c r="F604"/>
      <c r="G604"/>
      <c r="H604"/>
      <c r="I604"/>
      <c r="J604"/>
      <c r="K604"/>
      <c r="L604"/>
    </row>
    <row r="605" spans="2:12" x14ac:dyDescent="0.25">
      <c r="B605"/>
      <c r="C605"/>
      <c r="D605"/>
      <c r="E605"/>
      <c r="F605"/>
      <c r="G605"/>
      <c r="H605"/>
      <c r="I605"/>
      <c r="J605"/>
      <c r="K605"/>
      <c r="L605"/>
    </row>
    <row r="606" spans="2:12" x14ac:dyDescent="0.25">
      <c r="B606"/>
      <c r="C606"/>
      <c r="D606"/>
      <c r="E606"/>
      <c r="F606"/>
      <c r="G606"/>
      <c r="H606"/>
      <c r="I606"/>
      <c r="J606"/>
      <c r="K606"/>
      <c r="L606"/>
    </row>
    <row r="607" spans="2:12" x14ac:dyDescent="0.25">
      <c r="B607"/>
      <c r="C607"/>
      <c r="D607"/>
      <c r="E607"/>
      <c r="F607"/>
      <c r="G607"/>
      <c r="H607"/>
      <c r="I607"/>
      <c r="J607"/>
      <c r="K607"/>
      <c r="L607"/>
    </row>
    <row r="608" spans="2:12" x14ac:dyDescent="0.25">
      <c r="B608"/>
      <c r="C608"/>
      <c r="D608"/>
      <c r="E608"/>
      <c r="F608"/>
      <c r="G608"/>
      <c r="H608"/>
      <c r="I608"/>
      <c r="J608"/>
      <c r="K608"/>
      <c r="L608"/>
    </row>
    <row r="609" spans="2:12" x14ac:dyDescent="0.25">
      <c r="B609"/>
      <c r="C609"/>
      <c r="D609"/>
      <c r="E609"/>
      <c r="F609"/>
      <c r="G609"/>
      <c r="H609"/>
      <c r="I609"/>
      <c r="J609"/>
      <c r="K609"/>
      <c r="L609"/>
    </row>
    <row r="610" spans="2:12" x14ac:dyDescent="0.25">
      <c r="B610"/>
      <c r="C610"/>
      <c r="D610"/>
      <c r="E610"/>
      <c r="F610"/>
      <c r="G610"/>
      <c r="H610"/>
      <c r="I610"/>
      <c r="J610"/>
      <c r="K610"/>
      <c r="L610"/>
    </row>
    <row r="611" spans="2:12" x14ac:dyDescent="0.25">
      <c r="B611"/>
      <c r="C611"/>
      <c r="D611"/>
      <c r="E611"/>
      <c r="F611"/>
      <c r="G611"/>
      <c r="H611"/>
      <c r="I611"/>
      <c r="J611"/>
      <c r="K611"/>
      <c r="L611"/>
    </row>
    <row r="612" spans="2:12" x14ac:dyDescent="0.25">
      <c r="B612"/>
      <c r="C612"/>
      <c r="D612"/>
      <c r="E612"/>
      <c r="F612"/>
      <c r="G612"/>
      <c r="H612"/>
      <c r="I612"/>
      <c r="J612"/>
      <c r="K612"/>
      <c r="L612"/>
    </row>
    <row r="613" spans="2:12" x14ac:dyDescent="0.25">
      <c r="B613"/>
      <c r="C613"/>
      <c r="D613"/>
      <c r="E613"/>
      <c r="F613"/>
      <c r="G613"/>
      <c r="H613"/>
      <c r="I613"/>
      <c r="J613"/>
      <c r="K613"/>
      <c r="L613"/>
    </row>
    <row r="614" spans="2:12" x14ac:dyDescent="0.25">
      <c r="B614"/>
      <c r="C614"/>
      <c r="D614"/>
      <c r="E614"/>
      <c r="F614"/>
      <c r="G614"/>
      <c r="H614"/>
      <c r="I614"/>
      <c r="J614"/>
      <c r="K614"/>
      <c r="L614"/>
    </row>
    <row r="615" spans="2:12" x14ac:dyDescent="0.25">
      <c r="B615"/>
      <c r="C615"/>
      <c r="D615"/>
      <c r="E615"/>
      <c r="F615"/>
      <c r="G615"/>
      <c r="H615"/>
      <c r="I615"/>
      <c r="J615"/>
      <c r="K615"/>
      <c r="L615"/>
    </row>
    <row r="616" spans="2:12" x14ac:dyDescent="0.25">
      <c r="B616"/>
      <c r="C616"/>
      <c r="D616"/>
      <c r="E616"/>
      <c r="F616"/>
      <c r="G616"/>
      <c r="H616"/>
      <c r="I616"/>
      <c r="J616"/>
      <c r="K616"/>
      <c r="L616"/>
    </row>
    <row r="617" spans="2:12" x14ac:dyDescent="0.25">
      <c r="B617"/>
      <c r="C617"/>
      <c r="D617"/>
      <c r="E617"/>
      <c r="F617"/>
      <c r="G617"/>
      <c r="H617"/>
      <c r="I617"/>
      <c r="J617"/>
      <c r="K617"/>
      <c r="L617"/>
    </row>
    <row r="618" spans="2:12" x14ac:dyDescent="0.25">
      <c r="B618"/>
      <c r="C618"/>
      <c r="D618"/>
      <c r="E618"/>
      <c r="F618"/>
      <c r="G618"/>
      <c r="H618"/>
      <c r="I618"/>
      <c r="J618"/>
      <c r="K618"/>
      <c r="L618"/>
    </row>
    <row r="619" spans="2:12" x14ac:dyDescent="0.25">
      <c r="B619"/>
      <c r="C619"/>
      <c r="D619"/>
      <c r="E619"/>
      <c r="F619"/>
      <c r="G619"/>
      <c r="H619"/>
      <c r="I619"/>
      <c r="J619"/>
      <c r="K619"/>
      <c r="L619"/>
    </row>
    <row r="620" spans="2:12" x14ac:dyDescent="0.25">
      <c r="B620"/>
      <c r="C620"/>
      <c r="D620"/>
      <c r="E620"/>
      <c r="F620"/>
      <c r="G620"/>
      <c r="H620"/>
      <c r="I620"/>
      <c r="J620"/>
      <c r="K620"/>
      <c r="L620"/>
    </row>
    <row r="621" spans="2:12" x14ac:dyDescent="0.25">
      <c r="B621"/>
      <c r="C621"/>
      <c r="D621"/>
      <c r="E621"/>
      <c r="F621"/>
      <c r="G621"/>
      <c r="H621"/>
      <c r="I621"/>
      <c r="J621"/>
      <c r="K621"/>
      <c r="L621"/>
    </row>
    <row r="622" spans="2:12" x14ac:dyDescent="0.25">
      <c r="B622"/>
      <c r="C622"/>
      <c r="D622"/>
      <c r="E622"/>
      <c r="F622"/>
      <c r="G622"/>
      <c r="H622"/>
      <c r="I622"/>
      <c r="J622"/>
      <c r="K622"/>
      <c r="L622"/>
    </row>
    <row r="623" spans="2:12" x14ac:dyDescent="0.25">
      <c r="B623"/>
      <c r="C623"/>
      <c r="D623"/>
      <c r="E623"/>
      <c r="F623"/>
      <c r="G623"/>
      <c r="H623"/>
      <c r="I623"/>
      <c r="J623"/>
      <c r="K623"/>
      <c r="L623"/>
    </row>
    <row r="624" spans="2:12" x14ac:dyDescent="0.25">
      <c r="B624"/>
      <c r="C624"/>
      <c r="D624"/>
      <c r="E624"/>
      <c r="F624"/>
      <c r="G624"/>
      <c r="H624"/>
      <c r="I624"/>
      <c r="J624"/>
      <c r="K624"/>
      <c r="L624"/>
    </row>
    <row r="625" spans="2:12" x14ac:dyDescent="0.25">
      <c r="B625"/>
      <c r="C625"/>
      <c r="D625"/>
      <c r="E625"/>
      <c r="F625"/>
      <c r="G625"/>
      <c r="H625"/>
      <c r="I625"/>
      <c r="J625"/>
      <c r="K625"/>
      <c r="L625"/>
    </row>
    <row r="626" spans="2:12" x14ac:dyDescent="0.25">
      <c r="B626"/>
      <c r="C626"/>
      <c r="D626"/>
      <c r="E626"/>
      <c r="F626"/>
      <c r="G626"/>
      <c r="H626"/>
      <c r="I626"/>
      <c r="J626"/>
      <c r="K626"/>
      <c r="L626"/>
    </row>
    <row r="627" spans="2:12" x14ac:dyDescent="0.25">
      <c r="B627"/>
      <c r="C627"/>
      <c r="D627"/>
      <c r="E627"/>
      <c r="F627"/>
      <c r="G627"/>
      <c r="H627"/>
      <c r="I627"/>
      <c r="J627"/>
      <c r="K627"/>
      <c r="L627"/>
    </row>
    <row r="628" spans="2:12" x14ac:dyDescent="0.25">
      <c r="B628"/>
      <c r="C628"/>
      <c r="D628"/>
      <c r="E628"/>
      <c r="F628"/>
      <c r="G628"/>
      <c r="H628"/>
      <c r="I628"/>
      <c r="J628"/>
      <c r="K628"/>
      <c r="L628"/>
    </row>
    <row r="629" spans="2:12" x14ac:dyDescent="0.25">
      <c r="B629"/>
      <c r="C629"/>
      <c r="D629"/>
      <c r="E629"/>
      <c r="F629"/>
      <c r="G629"/>
      <c r="H629"/>
      <c r="I629"/>
      <c r="J629"/>
      <c r="K629"/>
      <c r="L629"/>
    </row>
    <row r="630" spans="2:12" x14ac:dyDescent="0.25">
      <c r="B630"/>
      <c r="C630"/>
      <c r="D630"/>
      <c r="E630"/>
      <c r="F630"/>
      <c r="G630"/>
      <c r="H630"/>
      <c r="I630"/>
      <c r="J630"/>
      <c r="K630"/>
      <c r="L630"/>
    </row>
    <row r="631" spans="2:12" x14ac:dyDescent="0.25">
      <c r="B631"/>
      <c r="C631"/>
      <c r="D631"/>
      <c r="E631"/>
      <c r="F631"/>
      <c r="G631"/>
      <c r="H631"/>
      <c r="I631"/>
      <c r="J631"/>
      <c r="K631"/>
      <c r="L631"/>
    </row>
    <row r="632" spans="2:12" x14ac:dyDescent="0.25">
      <c r="B632"/>
      <c r="C632"/>
      <c r="D632"/>
      <c r="E632"/>
      <c r="F632"/>
      <c r="G632"/>
      <c r="H632"/>
      <c r="I632"/>
      <c r="J632"/>
      <c r="K632"/>
      <c r="L632"/>
    </row>
    <row r="633" spans="2:12" x14ac:dyDescent="0.25">
      <c r="B633"/>
      <c r="C633"/>
      <c r="D633"/>
      <c r="E633"/>
      <c r="F633"/>
      <c r="G633"/>
      <c r="H633"/>
      <c r="I633"/>
      <c r="J633"/>
      <c r="K633"/>
      <c r="L633"/>
    </row>
    <row r="634" spans="2:12" x14ac:dyDescent="0.25">
      <c r="B634"/>
      <c r="C634"/>
      <c r="D634"/>
      <c r="E634"/>
      <c r="F634"/>
      <c r="G634"/>
      <c r="H634"/>
      <c r="I634"/>
      <c r="J634"/>
      <c r="K634"/>
      <c r="L634"/>
    </row>
    <row r="635" spans="2:12" x14ac:dyDescent="0.25">
      <c r="B635"/>
      <c r="C635"/>
      <c r="D635"/>
      <c r="E635"/>
      <c r="F635"/>
      <c r="G635"/>
      <c r="H635"/>
      <c r="I635"/>
      <c r="J635"/>
      <c r="K635"/>
      <c r="L635"/>
    </row>
    <row r="636" spans="2:12" x14ac:dyDescent="0.25">
      <c r="B636"/>
      <c r="C636"/>
      <c r="D636"/>
      <c r="E636"/>
      <c r="F636"/>
      <c r="G636"/>
      <c r="H636"/>
      <c r="I636"/>
      <c r="J636"/>
      <c r="K636"/>
      <c r="L636"/>
    </row>
    <row r="637" spans="2:12" x14ac:dyDescent="0.25">
      <c r="B637"/>
      <c r="C637"/>
      <c r="D637"/>
      <c r="E637"/>
      <c r="F637"/>
      <c r="G637"/>
      <c r="H637"/>
      <c r="I637"/>
      <c r="J637"/>
      <c r="K637"/>
      <c r="L637"/>
    </row>
    <row r="638" spans="2:12" x14ac:dyDescent="0.25">
      <c r="B638"/>
      <c r="C638"/>
      <c r="D638"/>
      <c r="E638"/>
      <c r="F638"/>
      <c r="G638"/>
      <c r="H638"/>
      <c r="I638"/>
      <c r="J638"/>
      <c r="K638"/>
      <c r="L638"/>
    </row>
    <row r="639" spans="2:12" x14ac:dyDescent="0.25">
      <c r="B639"/>
      <c r="C639"/>
      <c r="D639"/>
      <c r="E639"/>
      <c r="F639"/>
      <c r="G639"/>
      <c r="H639"/>
      <c r="I639"/>
      <c r="J639"/>
      <c r="K639"/>
      <c r="L639"/>
    </row>
    <row r="640" spans="2:12" x14ac:dyDescent="0.25">
      <c r="B640"/>
      <c r="C640"/>
      <c r="D640"/>
      <c r="E640"/>
      <c r="F640"/>
      <c r="G640"/>
      <c r="H640"/>
      <c r="I640"/>
      <c r="J640"/>
      <c r="K640"/>
      <c r="L640"/>
    </row>
    <row r="641" spans="2:12" x14ac:dyDescent="0.25">
      <c r="B641"/>
      <c r="C641"/>
      <c r="D641"/>
      <c r="E641"/>
      <c r="F641"/>
      <c r="G641"/>
      <c r="H641"/>
      <c r="I641"/>
      <c r="J641"/>
      <c r="K641"/>
      <c r="L641"/>
    </row>
    <row r="642" spans="2:12" x14ac:dyDescent="0.25">
      <c r="B642"/>
      <c r="C642"/>
      <c r="D642"/>
      <c r="E642"/>
      <c r="F642"/>
      <c r="G642"/>
      <c r="H642"/>
      <c r="I642"/>
      <c r="J642"/>
      <c r="K642"/>
      <c r="L642"/>
    </row>
    <row r="643" spans="2:12" x14ac:dyDescent="0.25">
      <c r="B643"/>
      <c r="C643"/>
      <c r="D643"/>
      <c r="E643"/>
      <c r="F643"/>
      <c r="G643"/>
      <c r="H643"/>
      <c r="I643"/>
      <c r="J643"/>
      <c r="K643"/>
      <c r="L643"/>
    </row>
    <row r="644" spans="2:12" x14ac:dyDescent="0.25">
      <c r="B644"/>
      <c r="C644"/>
      <c r="D644"/>
      <c r="E644"/>
      <c r="F644"/>
      <c r="G644"/>
      <c r="H644"/>
      <c r="I644"/>
      <c r="J644"/>
      <c r="K644"/>
      <c r="L644"/>
    </row>
    <row r="645" spans="2:12" x14ac:dyDescent="0.25">
      <c r="B645"/>
      <c r="C645"/>
      <c r="D645"/>
      <c r="E645"/>
      <c r="F645"/>
      <c r="G645"/>
      <c r="H645"/>
      <c r="I645"/>
      <c r="J645"/>
      <c r="K645"/>
      <c r="L645"/>
    </row>
    <row r="646" spans="2:12" x14ac:dyDescent="0.25">
      <c r="B646"/>
      <c r="C646"/>
      <c r="D646"/>
      <c r="E646"/>
      <c r="F646"/>
      <c r="G646"/>
      <c r="H646"/>
      <c r="I646"/>
      <c r="J646"/>
      <c r="K646"/>
      <c r="L646"/>
    </row>
    <row r="647" spans="2:12" x14ac:dyDescent="0.25">
      <c r="B647"/>
      <c r="C647"/>
      <c r="D647"/>
      <c r="E647"/>
      <c r="F647"/>
      <c r="G647"/>
      <c r="H647"/>
      <c r="I647"/>
      <c r="J647"/>
      <c r="K647"/>
      <c r="L647"/>
    </row>
    <row r="648" spans="2:12" x14ac:dyDescent="0.25">
      <c r="B648"/>
      <c r="C648"/>
      <c r="D648"/>
      <c r="E648"/>
      <c r="F648"/>
      <c r="G648"/>
      <c r="H648"/>
      <c r="I648"/>
      <c r="J648"/>
      <c r="K648"/>
      <c r="L648"/>
    </row>
    <row r="649" spans="2:12" x14ac:dyDescent="0.25">
      <c r="B649"/>
      <c r="C649"/>
      <c r="D649"/>
      <c r="E649"/>
      <c r="F649"/>
      <c r="G649"/>
      <c r="H649"/>
      <c r="I649"/>
      <c r="J649"/>
      <c r="K649"/>
      <c r="L649"/>
    </row>
    <row r="650" spans="2:12" x14ac:dyDescent="0.25">
      <c r="B650"/>
      <c r="C650"/>
      <c r="D650"/>
      <c r="E650"/>
      <c r="F650"/>
      <c r="G650"/>
      <c r="H650"/>
      <c r="I650"/>
      <c r="J650"/>
      <c r="K650"/>
      <c r="L650"/>
    </row>
    <row r="651" spans="2:12" x14ac:dyDescent="0.25">
      <c r="B651"/>
      <c r="C651"/>
      <c r="D651"/>
      <c r="E651"/>
      <c r="F651"/>
      <c r="G651"/>
      <c r="H651"/>
      <c r="I651"/>
      <c r="J651"/>
      <c r="K651"/>
      <c r="L651"/>
    </row>
    <row r="652" spans="2:12" x14ac:dyDescent="0.25">
      <c r="B652"/>
      <c r="C652"/>
      <c r="D652"/>
      <c r="E652"/>
      <c r="F652"/>
      <c r="G652"/>
      <c r="H652"/>
      <c r="I652"/>
      <c r="J652"/>
      <c r="K652"/>
      <c r="L652"/>
    </row>
    <row r="653" spans="2:12" x14ac:dyDescent="0.25">
      <c r="B653"/>
      <c r="C653"/>
      <c r="D653"/>
      <c r="E653"/>
      <c r="F653"/>
      <c r="G653"/>
      <c r="H653"/>
      <c r="I653"/>
      <c r="J653"/>
      <c r="K653"/>
      <c r="L653"/>
    </row>
    <row r="654" spans="2:12" x14ac:dyDescent="0.25">
      <c r="B654"/>
      <c r="C654"/>
      <c r="D654"/>
      <c r="E654"/>
      <c r="F654"/>
      <c r="G654"/>
      <c r="H654"/>
      <c r="I654"/>
      <c r="J654"/>
      <c r="K654"/>
      <c r="L654"/>
    </row>
    <row r="655" spans="2:12" x14ac:dyDescent="0.25">
      <c r="B655"/>
      <c r="C655"/>
      <c r="D655"/>
      <c r="E655"/>
      <c r="F655"/>
      <c r="G655"/>
      <c r="H655"/>
      <c r="I655"/>
      <c r="J655"/>
      <c r="K655"/>
      <c r="L655"/>
    </row>
    <row r="656" spans="2:12" x14ac:dyDescent="0.25">
      <c r="B656"/>
      <c r="C656"/>
      <c r="D656"/>
      <c r="E656"/>
      <c r="F656"/>
      <c r="G656"/>
      <c r="H656"/>
      <c r="I656"/>
      <c r="J656"/>
      <c r="K656"/>
      <c r="L656"/>
    </row>
    <row r="657" spans="2:12" x14ac:dyDescent="0.25">
      <c r="B657"/>
      <c r="C657"/>
      <c r="D657"/>
      <c r="E657"/>
      <c r="F657"/>
      <c r="G657"/>
      <c r="H657"/>
      <c r="I657"/>
      <c r="J657"/>
      <c r="K657"/>
      <c r="L657"/>
    </row>
    <row r="658" spans="2:12" x14ac:dyDescent="0.25">
      <c r="B658"/>
      <c r="C658"/>
      <c r="D658"/>
      <c r="E658"/>
      <c r="F658"/>
      <c r="G658"/>
      <c r="H658"/>
      <c r="I658"/>
      <c r="J658"/>
      <c r="K658"/>
      <c r="L658"/>
    </row>
    <row r="659" spans="2:12" x14ac:dyDescent="0.25">
      <c r="B659"/>
      <c r="C659"/>
      <c r="D659"/>
      <c r="E659"/>
      <c r="F659"/>
      <c r="G659"/>
      <c r="H659"/>
      <c r="I659"/>
      <c r="J659"/>
      <c r="K659"/>
      <c r="L659"/>
    </row>
    <row r="660" spans="2:12" x14ac:dyDescent="0.25">
      <c r="B660"/>
      <c r="C660"/>
      <c r="D660"/>
      <c r="E660"/>
      <c r="F660"/>
      <c r="G660"/>
      <c r="H660"/>
      <c r="I660"/>
      <c r="J660"/>
      <c r="K660"/>
      <c r="L660"/>
    </row>
    <row r="661" spans="2:12" x14ac:dyDescent="0.25">
      <c r="B661"/>
      <c r="C661"/>
      <c r="D661"/>
      <c r="E661"/>
      <c r="F661"/>
      <c r="G661"/>
      <c r="H661"/>
      <c r="I661"/>
      <c r="J661"/>
      <c r="K661"/>
      <c r="L661"/>
    </row>
    <row r="662" spans="2:12" x14ac:dyDescent="0.25">
      <c r="B662"/>
      <c r="C662"/>
      <c r="D662"/>
      <c r="E662"/>
      <c r="F662"/>
      <c r="G662"/>
      <c r="H662"/>
      <c r="I662"/>
      <c r="J662"/>
      <c r="K662"/>
      <c r="L662"/>
    </row>
    <row r="663" spans="2:12" x14ac:dyDescent="0.25">
      <c r="B663"/>
      <c r="C663"/>
      <c r="D663"/>
      <c r="E663"/>
      <c r="F663"/>
      <c r="G663"/>
      <c r="H663"/>
      <c r="I663"/>
      <c r="J663"/>
      <c r="K663"/>
      <c r="L663"/>
    </row>
    <row r="664" spans="2:12" x14ac:dyDescent="0.25">
      <c r="B664"/>
      <c r="C664"/>
      <c r="D664"/>
      <c r="E664"/>
      <c r="F664"/>
      <c r="G664"/>
      <c r="H664"/>
      <c r="I664"/>
      <c r="J664"/>
      <c r="K664"/>
      <c r="L664"/>
    </row>
    <row r="665" spans="2:12" x14ac:dyDescent="0.25">
      <c r="B665"/>
      <c r="C665"/>
      <c r="D665"/>
      <c r="E665"/>
      <c r="F665"/>
      <c r="G665"/>
      <c r="H665"/>
      <c r="I665"/>
      <c r="J665"/>
      <c r="K665"/>
      <c r="L665"/>
    </row>
    <row r="666" spans="2:12" x14ac:dyDescent="0.25">
      <c r="B666"/>
      <c r="C666"/>
      <c r="D666"/>
      <c r="E666"/>
      <c r="F666"/>
      <c r="G666"/>
      <c r="H666"/>
      <c r="I666"/>
      <c r="J666"/>
      <c r="K666"/>
      <c r="L666"/>
    </row>
    <row r="667" spans="2:12" x14ac:dyDescent="0.25">
      <c r="B667"/>
      <c r="C667"/>
      <c r="D667"/>
      <c r="E667"/>
      <c r="F667"/>
      <c r="G667"/>
      <c r="H667"/>
      <c r="I667"/>
      <c r="J667"/>
      <c r="K667"/>
      <c r="L667"/>
    </row>
    <row r="668" spans="2:12" x14ac:dyDescent="0.25">
      <c r="B668"/>
      <c r="C668"/>
      <c r="D668"/>
      <c r="E668"/>
      <c r="F668"/>
      <c r="G668"/>
      <c r="H668"/>
      <c r="I668"/>
      <c r="J668"/>
      <c r="K668"/>
      <c r="L668"/>
    </row>
    <row r="669" spans="2:12" x14ac:dyDescent="0.25">
      <c r="B669"/>
      <c r="C669"/>
      <c r="D669"/>
      <c r="E669"/>
      <c r="F669"/>
      <c r="G669"/>
      <c r="H669"/>
      <c r="I669"/>
      <c r="J669"/>
      <c r="K669"/>
      <c r="L669"/>
    </row>
    <row r="670" spans="2:12" x14ac:dyDescent="0.25">
      <c r="B670"/>
      <c r="C670"/>
      <c r="D670"/>
      <c r="E670"/>
      <c r="F670"/>
      <c r="G670"/>
      <c r="H670"/>
      <c r="I670"/>
      <c r="J670"/>
      <c r="K670"/>
      <c r="L670"/>
    </row>
    <row r="671" spans="2:12" x14ac:dyDescent="0.25">
      <c r="B671"/>
      <c r="C671"/>
      <c r="D671"/>
      <c r="E671"/>
      <c r="F671"/>
      <c r="G671"/>
      <c r="H671"/>
      <c r="I671"/>
      <c r="J671"/>
      <c r="K671"/>
      <c r="L671"/>
    </row>
    <row r="672" spans="2:12" x14ac:dyDescent="0.25">
      <c r="B672"/>
      <c r="C672"/>
      <c r="D672"/>
      <c r="E672"/>
      <c r="F672"/>
      <c r="G672"/>
      <c r="H672"/>
      <c r="I672"/>
      <c r="J672"/>
      <c r="K672"/>
      <c r="L672"/>
    </row>
    <row r="673" spans="2:12" x14ac:dyDescent="0.25">
      <c r="B673"/>
      <c r="C673"/>
      <c r="D673"/>
      <c r="E673"/>
      <c r="F673"/>
      <c r="G673"/>
      <c r="H673"/>
      <c r="I673"/>
      <c r="J673"/>
      <c r="K673"/>
      <c r="L673"/>
    </row>
    <row r="674" spans="2:12" x14ac:dyDescent="0.25">
      <c r="B674"/>
      <c r="C674"/>
      <c r="D674"/>
      <c r="E674"/>
      <c r="F674"/>
      <c r="G674"/>
      <c r="H674"/>
      <c r="I674"/>
      <c r="J674"/>
      <c r="K674"/>
      <c r="L674"/>
    </row>
    <row r="675" spans="2:12" x14ac:dyDescent="0.25">
      <c r="B675"/>
      <c r="C675"/>
      <c r="D675"/>
      <c r="E675"/>
      <c r="F675"/>
      <c r="G675"/>
      <c r="H675"/>
      <c r="I675"/>
      <c r="J675"/>
      <c r="K675"/>
      <c r="L675"/>
    </row>
    <row r="676" spans="2:12" x14ac:dyDescent="0.25">
      <c r="B676"/>
      <c r="C676"/>
      <c r="D676"/>
      <c r="E676"/>
      <c r="F676"/>
      <c r="G676"/>
      <c r="H676"/>
      <c r="I676"/>
      <c r="J676"/>
      <c r="K676"/>
      <c r="L676"/>
    </row>
    <row r="677" spans="2:12" x14ac:dyDescent="0.25">
      <c r="B677"/>
      <c r="C677"/>
      <c r="D677"/>
      <c r="E677"/>
      <c r="F677"/>
      <c r="G677"/>
      <c r="H677"/>
      <c r="I677"/>
      <c r="J677"/>
      <c r="K677"/>
      <c r="L677"/>
    </row>
    <row r="678" spans="2:12" x14ac:dyDescent="0.25">
      <c r="B678"/>
      <c r="C678"/>
      <c r="D678"/>
      <c r="E678"/>
      <c r="F678"/>
      <c r="G678"/>
      <c r="H678"/>
      <c r="I678"/>
      <c r="J678"/>
      <c r="K678"/>
      <c r="L678"/>
    </row>
    <row r="679" spans="2:12" x14ac:dyDescent="0.25">
      <c r="B679"/>
      <c r="C679"/>
      <c r="D679"/>
      <c r="E679"/>
      <c r="F679"/>
      <c r="G679"/>
      <c r="H679"/>
      <c r="I679"/>
      <c r="J679"/>
      <c r="K679"/>
      <c r="L679"/>
    </row>
    <row r="680" spans="2:12" x14ac:dyDescent="0.25">
      <c r="B680"/>
      <c r="C680"/>
      <c r="D680"/>
      <c r="E680"/>
      <c r="F680"/>
      <c r="G680"/>
      <c r="H680"/>
      <c r="I680"/>
      <c r="J680"/>
      <c r="K680"/>
      <c r="L680"/>
    </row>
    <row r="681" spans="2:12" x14ac:dyDescent="0.25">
      <c r="B681"/>
      <c r="C681"/>
      <c r="D681"/>
      <c r="E681"/>
      <c r="F681"/>
      <c r="G681"/>
      <c r="H681"/>
      <c r="I681"/>
      <c r="J681"/>
      <c r="K681"/>
      <c r="L681"/>
    </row>
    <row r="682" spans="2:12" x14ac:dyDescent="0.25">
      <c r="B682"/>
      <c r="C682"/>
      <c r="D682"/>
      <c r="E682"/>
      <c r="F682"/>
      <c r="G682"/>
      <c r="H682"/>
      <c r="I682"/>
      <c r="J682"/>
      <c r="K682"/>
      <c r="L682"/>
    </row>
    <row r="683" spans="2:12" x14ac:dyDescent="0.25">
      <c r="B683"/>
      <c r="C683"/>
      <c r="D683"/>
      <c r="E683"/>
      <c r="F683"/>
      <c r="G683"/>
      <c r="H683"/>
      <c r="I683"/>
      <c r="J683"/>
      <c r="K683"/>
      <c r="L683"/>
    </row>
    <row r="684" spans="2:12" x14ac:dyDescent="0.25">
      <c r="B684"/>
      <c r="C684"/>
      <c r="D684"/>
      <c r="E684"/>
      <c r="F684"/>
      <c r="G684"/>
      <c r="H684"/>
      <c r="I684"/>
      <c r="J684"/>
      <c r="K684"/>
      <c r="L684"/>
    </row>
    <row r="685" spans="2:12" x14ac:dyDescent="0.25">
      <c r="B685"/>
      <c r="C685"/>
      <c r="D685"/>
      <c r="E685"/>
      <c r="F685"/>
      <c r="G685"/>
      <c r="H685"/>
      <c r="I685"/>
      <c r="J685"/>
      <c r="K685"/>
      <c r="L685"/>
    </row>
    <row r="686" spans="2:12" x14ac:dyDescent="0.25">
      <c r="B686"/>
      <c r="C686"/>
      <c r="D686"/>
      <c r="E686"/>
      <c r="F686"/>
      <c r="G686"/>
      <c r="H686"/>
      <c r="I686"/>
      <c r="J686"/>
      <c r="K686"/>
      <c r="L686"/>
    </row>
    <row r="687" spans="2:12" x14ac:dyDescent="0.25">
      <c r="B687"/>
      <c r="C687"/>
      <c r="D687"/>
      <c r="E687"/>
      <c r="F687"/>
      <c r="G687"/>
      <c r="H687"/>
      <c r="I687"/>
      <c r="J687"/>
      <c r="K687"/>
      <c r="L687"/>
    </row>
    <row r="688" spans="2:12" x14ac:dyDescent="0.25">
      <c r="B688"/>
      <c r="C688"/>
      <c r="D688"/>
      <c r="E688"/>
      <c r="F688"/>
      <c r="G688"/>
      <c r="H688"/>
      <c r="I688"/>
      <c r="J688"/>
      <c r="K688"/>
      <c r="L688"/>
    </row>
    <row r="689" spans="2:12" x14ac:dyDescent="0.25">
      <c r="B689"/>
      <c r="C689"/>
      <c r="D689"/>
      <c r="E689"/>
      <c r="F689"/>
      <c r="G689"/>
      <c r="H689"/>
      <c r="I689"/>
      <c r="J689"/>
      <c r="K689"/>
      <c r="L689"/>
    </row>
    <row r="690" spans="2:12" x14ac:dyDescent="0.25">
      <c r="B690"/>
      <c r="C690"/>
      <c r="D690"/>
      <c r="E690"/>
      <c r="F690"/>
      <c r="G690"/>
      <c r="H690"/>
      <c r="I690"/>
      <c r="J690"/>
      <c r="K690"/>
      <c r="L690"/>
    </row>
    <row r="691" spans="2:12" x14ac:dyDescent="0.25">
      <c r="B691"/>
      <c r="C691"/>
      <c r="D691"/>
      <c r="E691"/>
      <c r="F691"/>
      <c r="G691"/>
      <c r="H691"/>
      <c r="I691"/>
      <c r="J691"/>
      <c r="K691"/>
      <c r="L691"/>
    </row>
    <row r="692" spans="2:12" x14ac:dyDescent="0.25">
      <c r="B692"/>
      <c r="C692"/>
      <c r="D692"/>
      <c r="E692"/>
      <c r="F692"/>
      <c r="G692"/>
      <c r="H692"/>
      <c r="I692"/>
      <c r="J692"/>
      <c r="K692"/>
      <c r="L692"/>
    </row>
    <row r="693" spans="2:12" x14ac:dyDescent="0.25">
      <c r="B693"/>
      <c r="C693"/>
      <c r="D693"/>
      <c r="E693"/>
      <c r="F693"/>
      <c r="G693"/>
      <c r="H693"/>
      <c r="I693"/>
      <c r="J693"/>
      <c r="K693"/>
      <c r="L693"/>
    </row>
    <row r="694" spans="2:12" x14ac:dyDescent="0.25">
      <c r="B694"/>
      <c r="C694"/>
      <c r="D694"/>
      <c r="E694"/>
      <c r="F694"/>
      <c r="G694"/>
      <c r="H694"/>
      <c r="I694"/>
      <c r="J694"/>
      <c r="K694"/>
      <c r="L694"/>
    </row>
    <row r="695" spans="2:12" x14ac:dyDescent="0.25">
      <c r="B695"/>
      <c r="C695"/>
      <c r="D695"/>
      <c r="E695"/>
      <c r="F695"/>
      <c r="G695"/>
      <c r="H695"/>
      <c r="I695"/>
      <c r="J695"/>
      <c r="K695"/>
      <c r="L695"/>
    </row>
    <row r="696" spans="2:12" x14ac:dyDescent="0.25">
      <c r="B696"/>
      <c r="C696"/>
      <c r="D696"/>
      <c r="E696"/>
      <c r="F696"/>
      <c r="G696"/>
      <c r="H696"/>
      <c r="I696"/>
      <c r="J696"/>
      <c r="K696"/>
      <c r="L696"/>
    </row>
    <row r="697" spans="2:12" x14ac:dyDescent="0.25">
      <c r="B697"/>
      <c r="C697"/>
      <c r="D697"/>
      <c r="E697"/>
      <c r="F697"/>
      <c r="G697"/>
      <c r="H697"/>
      <c r="I697"/>
      <c r="J697"/>
      <c r="K697"/>
      <c r="L697"/>
    </row>
    <row r="698" spans="2:12" x14ac:dyDescent="0.25">
      <c r="B698"/>
      <c r="C698"/>
      <c r="D698"/>
      <c r="E698"/>
      <c r="F698"/>
      <c r="G698"/>
      <c r="H698"/>
      <c r="I698"/>
      <c r="J698"/>
      <c r="K698"/>
      <c r="L698"/>
    </row>
    <row r="699" spans="2:12" x14ac:dyDescent="0.25">
      <c r="B699"/>
      <c r="C699"/>
      <c r="D699"/>
      <c r="E699"/>
      <c r="F699"/>
      <c r="G699"/>
      <c r="H699"/>
      <c r="I699"/>
      <c r="J699"/>
      <c r="K699"/>
      <c r="L699"/>
    </row>
    <row r="700" spans="2:12" x14ac:dyDescent="0.25">
      <c r="B700"/>
      <c r="C700"/>
      <c r="D700"/>
      <c r="E700"/>
      <c r="F700"/>
      <c r="G700"/>
      <c r="H700"/>
      <c r="I700"/>
      <c r="J700"/>
      <c r="K700"/>
      <c r="L700"/>
    </row>
    <row r="701" spans="2:12" x14ac:dyDescent="0.25">
      <c r="B701"/>
      <c r="C701"/>
      <c r="D701"/>
      <c r="E701"/>
      <c r="F701"/>
      <c r="G701"/>
      <c r="H701"/>
      <c r="I701"/>
      <c r="J701"/>
      <c r="K701"/>
      <c r="L701"/>
    </row>
    <row r="702" spans="2:12" x14ac:dyDescent="0.25">
      <c r="B702"/>
      <c r="C702"/>
      <c r="D702"/>
      <c r="E702"/>
      <c r="F702"/>
      <c r="G702"/>
      <c r="H702"/>
      <c r="I702"/>
      <c r="J702"/>
      <c r="K702"/>
      <c r="L702"/>
    </row>
    <row r="703" spans="2:12" x14ac:dyDescent="0.25">
      <c r="B703"/>
      <c r="C703"/>
      <c r="D703"/>
      <c r="E703"/>
      <c r="F703"/>
      <c r="G703"/>
      <c r="H703"/>
      <c r="I703"/>
      <c r="J703"/>
      <c r="K703"/>
      <c r="L703"/>
    </row>
    <row r="704" spans="2:12" x14ac:dyDescent="0.25">
      <c r="B704"/>
      <c r="C704"/>
      <c r="D704"/>
      <c r="E704"/>
      <c r="F704"/>
      <c r="G704"/>
      <c r="H704"/>
      <c r="I704"/>
      <c r="J704"/>
      <c r="K704"/>
      <c r="L704"/>
    </row>
    <row r="705" spans="2:12" x14ac:dyDescent="0.25">
      <c r="B705"/>
      <c r="C705"/>
      <c r="D705"/>
      <c r="E705"/>
      <c r="F705"/>
      <c r="G705"/>
      <c r="H705"/>
      <c r="I705"/>
      <c r="J705"/>
      <c r="K705"/>
      <c r="L705"/>
    </row>
    <row r="706" spans="2:12" x14ac:dyDescent="0.25">
      <c r="B706"/>
      <c r="C706"/>
      <c r="D706"/>
      <c r="E706"/>
      <c r="F706"/>
      <c r="G706"/>
      <c r="H706"/>
      <c r="I706"/>
      <c r="J706"/>
      <c r="K706"/>
      <c r="L706"/>
    </row>
    <row r="707" spans="2:12" x14ac:dyDescent="0.25">
      <c r="B707"/>
      <c r="C707"/>
      <c r="D707"/>
      <c r="E707"/>
      <c r="F707"/>
      <c r="G707"/>
      <c r="H707"/>
      <c r="I707"/>
      <c r="J707"/>
      <c r="K707"/>
      <c r="L707"/>
    </row>
    <row r="708" spans="2:12" x14ac:dyDescent="0.25">
      <c r="B708"/>
      <c r="C708"/>
      <c r="D708"/>
      <c r="E708"/>
      <c r="F708"/>
      <c r="G708"/>
      <c r="H708"/>
      <c r="I708"/>
      <c r="J708"/>
      <c r="K708"/>
      <c r="L708"/>
    </row>
    <row r="709" spans="2:12" x14ac:dyDescent="0.25">
      <c r="B709"/>
      <c r="C709"/>
      <c r="D709"/>
      <c r="E709"/>
      <c r="F709"/>
      <c r="G709"/>
      <c r="H709"/>
      <c r="I709"/>
      <c r="J709"/>
      <c r="K709"/>
      <c r="L709"/>
    </row>
    <row r="710" spans="2:12" x14ac:dyDescent="0.25">
      <c r="B710"/>
      <c r="C710"/>
      <c r="D710"/>
      <c r="E710"/>
      <c r="F710"/>
      <c r="G710"/>
      <c r="H710"/>
      <c r="I710"/>
      <c r="J710"/>
      <c r="K710"/>
      <c r="L710"/>
    </row>
    <row r="711" spans="2:12" x14ac:dyDescent="0.25">
      <c r="B711"/>
      <c r="C711"/>
      <c r="D711"/>
      <c r="E711"/>
      <c r="F711"/>
      <c r="G711"/>
      <c r="H711"/>
      <c r="I711"/>
      <c r="J711"/>
      <c r="K711"/>
      <c r="L711"/>
    </row>
    <row r="712" spans="2:12" x14ac:dyDescent="0.25">
      <c r="B712"/>
      <c r="C712"/>
      <c r="D712"/>
      <c r="E712"/>
      <c r="F712"/>
      <c r="G712"/>
      <c r="H712"/>
      <c r="I712"/>
      <c r="J712"/>
      <c r="K712"/>
      <c r="L712"/>
    </row>
    <row r="713" spans="2:12" x14ac:dyDescent="0.25">
      <c r="B713"/>
      <c r="C713"/>
      <c r="D713"/>
      <c r="E713"/>
      <c r="F713"/>
      <c r="G713"/>
      <c r="H713"/>
      <c r="I713"/>
      <c r="J713"/>
      <c r="K713"/>
      <c r="L713"/>
    </row>
    <row r="714" spans="2:12" x14ac:dyDescent="0.25">
      <c r="B714"/>
      <c r="C714"/>
      <c r="D714"/>
      <c r="E714"/>
      <c r="F714"/>
      <c r="G714"/>
      <c r="H714"/>
      <c r="I714"/>
      <c r="J714"/>
      <c r="K714"/>
      <c r="L714"/>
    </row>
    <row r="715" spans="2:12" x14ac:dyDescent="0.25">
      <c r="B715"/>
      <c r="C715"/>
      <c r="D715"/>
      <c r="E715"/>
      <c r="F715"/>
      <c r="G715"/>
      <c r="H715"/>
      <c r="I715"/>
      <c r="J715"/>
      <c r="K715"/>
      <c r="L715"/>
    </row>
    <row r="716" spans="2:12" x14ac:dyDescent="0.25">
      <c r="B716"/>
      <c r="C716"/>
      <c r="D716"/>
      <c r="E716"/>
      <c r="F716"/>
      <c r="G716"/>
      <c r="H716"/>
      <c r="I716"/>
      <c r="J716"/>
      <c r="K716"/>
      <c r="L716"/>
    </row>
    <row r="717" spans="2:12" x14ac:dyDescent="0.25">
      <c r="B717"/>
      <c r="C717"/>
      <c r="D717"/>
      <c r="E717"/>
      <c r="F717"/>
      <c r="G717"/>
      <c r="H717"/>
      <c r="I717"/>
      <c r="J717"/>
      <c r="K717"/>
      <c r="L717"/>
    </row>
    <row r="718" spans="2:12" x14ac:dyDescent="0.25">
      <c r="B718"/>
      <c r="C718"/>
      <c r="D718"/>
      <c r="E718"/>
      <c r="F718"/>
      <c r="G718"/>
      <c r="H718"/>
      <c r="I718"/>
      <c r="J718"/>
      <c r="K718"/>
      <c r="L718"/>
    </row>
    <row r="719" spans="2:12" x14ac:dyDescent="0.25">
      <c r="B719"/>
      <c r="C719"/>
      <c r="D719"/>
      <c r="E719"/>
      <c r="F719"/>
      <c r="G719"/>
      <c r="H719"/>
      <c r="I719"/>
      <c r="J719"/>
      <c r="K719"/>
      <c r="L719"/>
    </row>
    <row r="720" spans="2:12" x14ac:dyDescent="0.25">
      <c r="B720"/>
      <c r="C720"/>
      <c r="D720"/>
      <c r="E720"/>
      <c r="F720"/>
      <c r="G720"/>
      <c r="H720"/>
      <c r="I720"/>
      <c r="J720"/>
      <c r="K720"/>
      <c r="L720"/>
    </row>
    <row r="721" spans="2:12" x14ac:dyDescent="0.25">
      <c r="B721"/>
      <c r="C721"/>
      <c r="D721"/>
      <c r="E721"/>
      <c r="F721"/>
      <c r="G721"/>
      <c r="H721"/>
      <c r="I721"/>
      <c r="J721"/>
      <c r="K721"/>
      <c r="L721"/>
    </row>
    <row r="722" spans="2:12" x14ac:dyDescent="0.25">
      <c r="B722"/>
      <c r="C722"/>
      <c r="D722"/>
      <c r="E722"/>
      <c r="F722"/>
      <c r="G722"/>
      <c r="H722"/>
      <c r="I722"/>
      <c r="J722"/>
      <c r="K722"/>
      <c r="L722"/>
    </row>
    <row r="723" spans="2:12" x14ac:dyDescent="0.25">
      <c r="B723"/>
      <c r="C723"/>
      <c r="D723"/>
      <c r="E723"/>
      <c r="F723"/>
      <c r="G723"/>
      <c r="H723"/>
      <c r="I723"/>
      <c r="J723"/>
      <c r="K723"/>
      <c r="L723"/>
    </row>
    <row r="724" spans="2:12" x14ac:dyDescent="0.25">
      <c r="B724"/>
      <c r="C724"/>
      <c r="D724"/>
      <c r="E724"/>
      <c r="F724"/>
      <c r="G724"/>
      <c r="H724"/>
      <c r="I724"/>
      <c r="J724"/>
      <c r="K724"/>
      <c r="L724"/>
    </row>
    <row r="725" spans="2:12" x14ac:dyDescent="0.25">
      <c r="B725"/>
      <c r="C725"/>
      <c r="D725"/>
      <c r="E725"/>
      <c r="F725"/>
      <c r="G725"/>
      <c r="H725"/>
      <c r="I725"/>
      <c r="J725"/>
      <c r="K725"/>
      <c r="L725"/>
    </row>
    <row r="726" spans="2:12" x14ac:dyDescent="0.25">
      <c r="B726"/>
      <c r="C726"/>
      <c r="D726"/>
      <c r="E726"/>
      <c r="F726"/>
      <c r="G726"/>
      <c r="H726"/>
      <c r="I726"/>
      <c r="J726"/>
      <c r="K726"/>
      <c r="L726"/>
    </row>
    <row r="727" spans="2:12" x14ac:dyDescent="0.25">
      <c r="B727"/>
      <c r="C727"/>
      <c r="D727"/>
      <c r="E727"/>
      <c r="F727"/>
      <c r="G727"/>
      <c r="H727"/>
      <c r="I727"/>
      <c r="J727"/>
      <c r="K727"/>
      <c r="L727"/>
    </row>
    <row r="728" spans="2:12" x14ac:dyDescent="0.25">
      <c r="B728"/>
      <c r="C728"/>
      <c r="D728"/>
      <c r="E728"/>
      <c r="F728"/>
      <c r="G728"/>
      <c r="H728"/>
      <c r="I728"/>
      <c r="J728"/>
      <c r="K728"/>
      <c r="L728"/>
    </row>
    <row r="729" spans="2:12" x14ac:dyDescent="0.25">
      <c r="B729"/>
      <c r="C729"/>
      <c r="D729"/>
      <c r="E729"/>
      <c r="F729"/>
      <c r="G729"/>
      <c r="H729"/>
      <c r="I729"/>
      <c r="J729"/>
      <c r="K729"/>
      <c r="L729"/>
    </row>
    <row r="730" spans="2:12" x14ac:dyDescent="0.25">
      <c r="B730"/>
      <c r="C730"/>
      <c r="D730"/>
      <c r="E730"/>
      <c r="F730"/>
      <c r="G730"/>
      <c r="H730"/>
      <c r="I730"/>
      <c r="J730"/>
      <c r="K730"/>
      <c r="L730"/>
    </row>
    <row r="731" spans="2:12" x14ac:dyDescent="0.25">
      <c r="B731"/>
      <c r="C731"/>
      <c r="D731"/>
      <c r="E731"/>
      <c r="F731"/>
      <c r="G731"/>
      <c r="H731"/>
      <c r="I731"/>
      <c r="J731"/>
      <c r="K731"/>
      <c r="L731"/>
    </row>
    <row r="732" spans="2:12" x14ac:dyDescent="0.25">
      <c r="B732"/>
      <c r="C732"/>
      <c r="D732"/>
      <c r="E732"/>
      <c r="F732"/>
      <c r="G732"/>
      <c r="H732"/>
      <c r="I732"/>
      <c r="J732"/>
      <c r="K732"/>
      <c r="L732"/>
    </row>
    <row r="733" spans="2:12" x14ac:dyDescent="0.25">
      <c r="B733"/>
      <c r="C733"/>
      <c r="D733"/>
      <c r="E733"/>
      <c r="F733"/>
      <c r="G733"/>
      <c r="H733"/>
      <c r="I733"/>
      <c r="J733"/>
      <c r="K733"/>
      <c r="L733"/>
    </row>
    <row r="734" spans="2:12" x14ac:dyDescent="0.25">
      <c r="B734"/>
      <c r="C734"/>
      <c r="D734"/>
      <c r="E734"/>
      <c r="F734"/>
      <c r="G734"/>
      <c r="H734"/>
      <c r="I734"/>
      <c r="J734"/>
      <c r="K734"/>
      <c r="L734"/>
    </row>
    <row r="735" spans="2:12" x14ac:dyDescent="0.25">
      <c r="B735"/>
      <c r="C735"/>
      <c r="D735"/>
      <c r="E735"/>
      <c r="F735"/>
      <c r="G735"/>
      <c r="H735"/>
      <c r="I735"/>
      <c r="J735"/>
      <c r="K735"/>
      <c r="L735"/>
    </row>
    <row r="736" spans="2:12" x14ac:dyDescent="0.25">
      <c r="B736"/>
      <c r="C736"/>
      <c r="D736"/>
      <c r="E736"/>
      <c r="F736"/>
      <c r="G736"/>
      <c r="H736"/>
      <c r="I736"/>
      <c r="J736"/>
      <c r="K736"/>
      <c r="L736"/>
    </row>
    <row r="737" spans="2:12" x14ac:dyDescent="0.25">
      <c r="B737"/>
      <c r="C737"/>
      <c r="D737"/>
      <c r="E737"/>
      <c r="F737"/>
      <c r="G737"/>
      <c r="H737"/>
      <c r="I737"/>
      <c r="J737"/>
      <c r="K737"/>
      <c r="L737"/>
    </row>
    <row r="738" spans="2:12" x14ac:dyDescent="0.25">
      <c r="B738"/>
      <c r="C738"/>
      <c r="D738"/>
      <c r="E738"/>
      <c r="F738"/>
      <c r="G738"/>
      <c r="H738"/>
      <c r="I738"/>
      <c r="J738"/>
      <c r="K738"/>
      <c r="L738"/>
    </row>
    <row r="739" spans="2:12" x14ac:dyDescent="0.25">
      <c r="B739"/>
      <c r="C739"/>
      <c r="D739"/>
      <c r="E739"/>
      <c r="F739"/>
      <c r="G739"/>
      <c r="H739"/>
      <c r="I739"/>
      <c r="J739"/>
      <c r="K739"/>
      <c r="L739"/>
    </row>
    <row r="740" spans="2:12" x14ac:dyDescent="0.25">
      <c r="B740"/>
      <c r="C740"/>
      <c r="D740"/>
      <c r="E740"/>
      <c r="F740"/>
      <c r="G740"/>
      <c r="H740"/>
      <c r="I740"/>
      <c r="J740"/>
      <c r="K740"/>
      <c r="L740"/>
    </row>
    <row r="741" spans="2:12" x14ac:dyDescent="0.25">
      <c r="B741"/>
      <c r="C741"/>
      <c r="D741"/>
      <c r="E741"/>
      <c r="F741"/>
      <c r="G741"/>
      <c r="H741"/>
      <c r="I741"/>
      <c r="J741"/>
      <c r="K741"/>
      <c r="L741"/>
    </row>
    <row r="742" spans="2:12" x14ac:dyDescent="0.25">
      <c r="B742"/>
      <c r="C742"/>
      <c r="D742"/>
      <c r="E742"/>
      <c r="F742"/>
      <c r="G742"/>
      <c r="H742"/>
      <c r="I742"/>
      <c r="J742"/>
      <c r="K742"/>
      <c r="L742"/>
    </row>
    <row r="743" spans="2:12" x14ac:dyDescent="0.25">
      <c r="B743"/>
      <c r="C743"/>
      <c r="D743"/>
      <c r="E743"/>
      <c r="F743"/>
      <c r="G743"/>
      <c r="H743"/>
      <c r="I743"/>
      <c r="J743"/>
      <c r="K743"/>
      <c r="L743"/>
    </row>
    <row r="744" spans="2:12" x14ac:dyDescent="0.25">
      <c r="B744"/>
      <c r="C744"/>
      <c r="D744"/>
      <c r="E744"/>
      <c r="F744"/>
      <c r="G744"/>
      <c r="H744"/>
      <c r="I744"/>
      <c r="J744"/>
      <c r="K744"/>
      <c r="L744"/>
    </row>
    <row r="745" spans="2:12" x14ac:dyDescent="0.25">
      <c r="B745"/>
      <c r="C745"/>
      <c r="D745"/>
      <c r="E745"/>
      <c r="F745"/>
      <c r="G745"/>
      <c r="H745"/>
      <c r="I745"/>
      <c r="J745"/>
      <c r="K745"/>
      <c r="L745"/>
    </row>
    <row r="746" spans="2:12" x14ac:dyDescent="0.25">
      <c r="B746"/>
      <c r="C746"/>
      <c r="D746"/>
      <c r="E746"/>
      <c r="F746"/>
      <c r="G746"/>
      <c r="H746"/>
      <c r="I746"/>
      <c r="J746"/>
      <c r="K746"/>
      <c r="L746"/>
    </row>
    <row r="747" spans="2:12" x14ac:dyDescent="0.25">
      <c r="B747"/>
      <c r="C747"/>
      <c r="D747"/>
      <c r="E747"/>
      <c r="F747"/>
      <c r="G747"/>
      <c r="H747"/>
      <c r="I747"/>
      <c r="J747"/>
      <c r="K747"/>
      <c r="L747"/>
    </row>
    <row r="748" spans="2:12" x14ac:dyDescent="0.25">
      <c r="B748"/>
      <c r="C748"/>
      <c r="D748"/>
      <c r="E748"/>
      <c r="F748"/>
      <c r="G748"/>
      <c r="H748"/>
      <c r="I748"/>
      <c r="J748"/>
      <c r="K748"/>
      <c r="L748"/>
    </row>
    <row r="749" spans="2:12" x14ac:dyDescent="0.25">
      <c r="B749"/>
      <c r="C749"/>
      <c r="D749"/>
      <c r="E749"/>
      <c r="F749"/>
      <c r="G749"/>
      <c r="H749"/>
      <c r="I749"/>
      <c r="J749"/>
      <c r="K749"/>
      <c r="L749"/>
    </row>
    <row r="750" spans="2:12" x14ac:dyDescent="0.25">
      <c r="B750"/>
      <c r="C750"/>
      <c r="D750"/>
      <c r="E750"/>
      <c r="F750"/>
      <c r="G750"/>
      <c r="H750"/>
      <c r="I750"/>
      <c r="J750"/>
      <c r="K750"/>
      <c r="L750"/>
    </row>
    <row r="751" spans="2:12" x14ac:dyDescent="0.25">
      <c r="B751"/>
      <c r="C751"/>
      <c r="D751"/>
      <c r="E751"/>
      <c r="F751"/>
      <c r="G751"/>
      <c r="H751"/>
      <c r="I751"/>
      <c r="J751"/>
      <c r="K751"/>
      <c r="L751"/>
    </row>
    <row r="752" spans="2:12" x14ac:dyDescent="0.25">
      <c r="B752"/>
      <c r="C752"/>
      <c r="D752"/>
      <c r="E752"/>
      <c r="F752"/>
      <c r="G752"/>
      <c r="H752"/>
      <c r="I752"/>
      <c r="J752"/>
      <c r="K752"/>
      <c r="L752"/>
    </row>
    <row r="753" spans="2:12" x14ac:dyDescent="0.25">
      <c r="B753"/>
      <c r="C753"/>
      <c r="D753"/>
      <c r="E753"/>
      <c r="F753"/>
      <c r="G753"/>
      <c r="H753"/>
      <c r="I753"/>
      <c r="J753"/>
      <c r="K753"/>
      <c r="L753"/>
    </row>
    <row r="754" spans="2:12" x14ac:dyDescent="0.25">
      <c r="B754"/>
      <c r="C754"/>
      <c r="D754"/>
      <c r="E754"/>
      <c r="F754"/>
      <c r="G754"/>
      <c r="H754"/>
      <c r="I754"/>
      <c r="J754"/>
      <c r="K754"/>
      <c r="L754"/>
    </row>
    <row r="755" spans="2:12" x14ac:dyDescent="0.25">
      <c r="B755"/>
      <c r="C755"/>
      <c r="D755"/>
      <c r="E755"/>
      <c r="F755"/>
      <c r="G755"/>
      <c r="H755"/>
      <c r="I755"/>
      <c r="J755"/>
      <c r="K755"/>
      <c r="L755"/>
    </row>
    <row r="756" spans="2:12" x14ac:dyDescent="0.25">
      <c r="B756"/>
      <c r="C756"/>
      <c r="D756"/>
      <c r="E756"/>
      <c r="F756"/>
      <c r="G756"/>
      <c r="H756"/>
      <c r="I756"/>
      <c r="J756"/>
      <c r="K756"/>
      <c r="L756"/>
    </row>
    <row r="757" spans="2:12" x14ac:dyDescent="0.25">
      <c r="B757"/>
      <c r="C757"/>
      <c r="D757"/>
      <c r="E757"/>
      <c r="F757"/>
      <c r="G757"/>
      <c r="H757"/>
      <c r="I757"/>
      <c r="J757"/>
      <c r="K757"/>
      <c r="L757"/>
    </row>
    <row r="758" spans="2:12" x14ac:dyDescent="0.25">
      <c r="B758"/>
      <c r="C758"/>
      <c r="D758"/>
      <c r="E758"/>
      <c r="F758"/>
      <c r="G758"/>
      <c r="H758"/>
      <c r="I758"/>
      <c r="J758"/>
      <c r="K758"/>
      <c r="L758"/>
    </row>
    <row r="759" spans="2:12" x14ac:dyDescent="0.25">
      <c r="B759"/>
      <c r="C759"/>
      <c r="D759"/>
      <c r="E759"/>
      <c r="F759"/>
      <c r="G759"/>
      <c r="H759"/>
      <c r="I759"/>
      <c r="J759"/>
      <c r="K759"/>
      <c r="L759"/>
    </row>
    <row r="760" spans="2:12" x14ac:dyDescent="0.25">
      <c r="B760"/>
      <c r="C760"/>
      <c r="D760"/>
      <c r="E760"/>
      <c r="F760"/>
      <c r="G760"/>
      <c r="H760"/>
      <c r="I760"/>
      <c r="J760"/>
      <c r="K760"/>
      <c r="L760"/>
    </row>
    <row r="761" spans="2:12" x14ac:dyDescent="0.25">
      <c r="B761"/>
      <c r="C761"/>
      <c r="D761"/>
      <c r="E761"/>
      <c r="F761"/>
      <c r="G761"/>
      <c r="H761"/>
      <c r="I761"/>
      <c r="J761"/>
      <c r="K761"/>
      <c r="L761"/>
    </row>
    <row r="762" spans="2:12" x14ac:dyDescent="0.25">
      <c r="B762"/>
      <c r="C762"/>
      <c r="D762"/>
      <c r="E762"/>
      <c r="F762"/>
      <c r="G762"/>
      <c r="H762"/>
      <c r="I762"/>
      <c r="J762"/>
      <c r="K762"/>
      <c r="L762"/>
    </row>
    <row r="763" spans="2:12" x14ac:dyDescent="0.25">
      <c r="B763"/>
      <c r="C763"/>
      <c r="D763"/>
      <c r="E763"/>
      <c r="F763"/>
      <c r="G763"/>
      <c r="H763"/>
      <c r="I763"/>
      <c r="J763"/>
      <c r="K763"/>
      <c r="L763"/>
    </row>
    <row r="764" spans="2:12" x14ac:dyDescent="0.25">
      <c r="B764"/>
      <c r="C764"/>
      <c r="D764"/>
      <c r="E764"/>
      <c r="F764"/>
      <c r="G764"/>
      <c r="H764"/>
      <c r="I764"/>
      <c r="J764"/>
      <c r="K764"/>
      <c r="L764"/>
    </row>
    <row r="765" spans="2:12" x14ac:dyDescent="0.25">
      <c r="B765"/>
      <c r="C765"/>
      <c r="D765"/>
      <c r="E765"/>
      <c r="F765"/>
      <c r="G765"/>
      <c r="H765"/>
      <c r="I765"/>
      <c r="J765"/>
      <c r="K765"/>
      <c r="L765"/>
    </row>
    <row r="766" spans="2:12" x14ac:dyDescent="0.25">
      <c r="B766"/>
      <c r="C766"/>
      <c r="D766"/>
      <c r="E766"/>
      <c r="F766"/>
      <c r="G766"/>
      <c r="H766"/>
      <c r="I766"/>
      <c r="J766"/>
      <c r="K766"/>
      <c r="L766"/>
    </row>
    <row r="767" spans="2:12" x14ac:dyDescent="0.25">
      <c r="B767"/>
      <c r="C767"/>
      <c r="D767"/>
      <c r="E767"/>
      <c r="F767"/>
      <c r="G767"/>
      <c r="H767"/>
      <c r="I767"/>
      <c r="J767"/>
      <c r="K767"/>
      <c r="L767"/>
    </row>
    <row r="768" spans="2:12" x14ac:dyDescent="0.25">
      <c r="B768"/>
      <c r="C768"/>
      <c r="D768"/>
      <c r="E768"/>
      <c r="F768"/>
      <c r="G768"/>
      <c r="H768"/>
      <c r="I768"/>
      <c r="J768"/>
      <c r="K768"/>
      <c r="L768"/>
    </row>
    <row r="769" spans="2:12" x14ac:dyDescent="0.25">
      <c r="B769"/>
      <c r="C769"/>
      <c r="D769"/>
      <c r="E769"/>
      <c r="F769"/>
      <c r="G769"/>
      <c r="H769"/>
      <c r="I769"/>
      <c r="J769"/>
      <c r="K769"/>
      <c r="L769"/>
    </row>
    <row r="770" spans="2:12" x14ac:dyDescent="0.25">
      <c r="B770"/>
      <c r="C770"/>
      <c r="D770"/>
      <c r="E770"/>
      <c r="F770"/>
      <c r="G770"/>
      <c r="H770"/>
      <c r="I770"/>
      <c r="J770"/>
      <c r="K770"/>
      <c r="L770"/>
    </row>
    <row r="771" spans="2:12" x14ac:dyDescent="0.25">
      <c r="B771"/>
      <c r="C771"/>
      <c r="D771"/>
      <c r="E771"/>
      <c r="F771"/>
      <c r="G771"/>
      <c r="H771"/>
      <c r="I771"/>
      <c r="J771"/>
      <c r="K771"/>
      <c r="L771"/>
    </row>
    <row r="772" spans="2:12" x14ac:dyDescent="0.25">
      <c r="B772"/>
      <c r="C772"/>
      <c r="D772"/>
      <c r="E772"/>
      <c r="F772"/>
      <c r="G772"/>
      <c r="H772"/>
      <c r="I772"/>
      <c r="J772"/>
      <c r="K772"/>
      <c r="L772"/>
    </row>
    <row r="773" spans="2:12" x14ac:dyDescent="0.25">
      <c r="B773"/>
      <c r="C773"/>
      <c r="D773"/>
      <c r="E773"/>
      <c r="F773"/>
      <c r="G773"/>
      <c r="H773"/>
      <c r="I773"/>
      <c r="J773"/>
      <c r="K773"/>
      <c r="L773"/>
    </row>
    <row r="774" spans="2:12" x14ac:dyDescent="0.25">
      <c r="B774"/>
      <c r="C774"/>
      <c r="D774"/>
      <c r="E774"/>
      <c r="F774"/>
      <c r="G774"/>
      <c r="H774"/>
      <c r="I774"/>
      <c r="J774"/>
      <c r="K774"/>
      <c r="L774"/>
    </row>
    <row r="775" spans="2:12" x14ac:dyDescent="0.25">
      <c r="B775"/>
      <c r="C775"/>
      <c r="D775"/>
      <c r="E775"/>
      <c r="F775"/>
      <c r="G775"/>
      <c r="H775"/>
      <c r="I775"/>
      <c r="J775"/>
      <c r="K775"/>
      <c r="L775"/>
    </row>
    <row r="776" spans="2:12" x14ac:dyDescent="0.25">
      <c r="B776"/>
      <c r="C776"/>
      <c r="D776"/>
      <c r="E776"/>
      <c r="F776"/>
      <c r="G776"/>
      <c r="H776"/>
      <c r="I776"/>
      <c r="J776"/>
      <c r="K776"/>
      <c r="L776"/>
    </row>
    <row r="777" spans="2:12" x14ac:dyDescent="0.25">
      <c r="B777"/>
      <c r="C777"/>
      <c r="D777"/>
      <c r="E777"/>
      <c r="F777"/>
      <c r="G777"/>
      <c r="H777"/>
      <c r="I777"/>
      <c r="J777"/>
      <c r="K777"/>
      <c r="L777"/>
    </row>
    <row r="778" spans="2:12" x14ac:dyDescent="0.25">
      <c r="B778"/>
      <c r="C778"/>
      <c r="D778"/>
      <c r="E778"/>
      <c r="F778"/>
      <c r="G778"/>
      <c r="H778"/>
      <c r="I778"/>
      <c r="J778"/>
      <c r="K778"/>
      <c r="L778"/>
    </row>
    <row r="779" spans="2:12" x14ac:dyDescent="0.25">
      <c r="B779"/>
      <c r="C779"/>
      <c r="D779"/>
      <c r="E779"/>
      <c r="F779"/>
      <c r="G779"/>
      <c r="H779"/>
      <c r="I779"/>
      <c r="J779"/>
      <c r="K779"/>
      <c r="L779"/>
    </row>
    <row r="780" spans="2:12" x14ac:dyDescent="0.25">
      <c r="B780"/>
      <c r="C780"/>
      <c r="D780"/>
      <c r="E780"/>
      <c r="F780"/>
      <c r="G780"/>
      <c r="H780"/>
      <c r="I780"/>
      <c r="J780"/>
      <c r="K780"/>
      <c r="L780"/>
    </row>
    <row r="781" spans="2:12" x14ac:dyDescent="0.25">
      <c r="B781"/>
      <c r="C781"/>
      <c r="D781"/>
      <c r="E781"/>
      <c r="F781"/>
      <c r="G781"/>
      <c r="H781"/>
      <c r="I781"/>
      <c r="J781"/>
      <c r="K781"/>
      <c r="L781"/>
    </row>
    <row r="782" spans="2:12" x14ac:dyDescent="0.25">
      <c r="B782"/>
      <c r="C782"/>
      <c r="D782"/>
      <c r="E782"/>
      <c r="F782"/>
      <c r="G782"/>
      <c r="H782"/>
      <c r="I782"/>
      <c r="J782"/>
      <c r="K782"/>
      <c r="L782"/>
    </row>
    <row r="783" spans="2:12" x14ac:dyDescent="0.25">
      <c r="B783"/>
      <c r="C783"/>
      <c r="D783"/>
      <c r="E783"/>
      <c r="F783"/>
      <c r="G783"/>
      <c r="H783"/>
      <c r="I783"/>
      <c r="J783"/>
      <c r="K783"/>
      <c r="L783"/>
    </row>
    <row r="784" spans="2:12" x14ac:dyDescent="0.25">
      <c r="B784"/>
      <c r="C784"/>
      <c r="D784"/>
      <c r="E784"/>
      <c r="F784"/>
      <c r="G784"/>
      <c r="H784"/>
      <c r="I784"/>
      <c r="J784"/>
      <c r="K784"/>
      <c r="L784"/>
    </row>
    <row r="785" spans="2:12" x14ac:dyDescent="0.25">
      <c r="B785"/>
      <c r="C785"/>
      <c r="D785"/>
      <c r="E785"/>
      <c r="F785"/>
      <c r="G785"/>
      <c r="H785"/>
      <c r="I785"/>
      <c r="J785"/>
      <c r="K785"/>
      <c r="L785"/>
    </row>
    <row r="786" spans="2:12" x14ac:dyDescent="0.25">
      <c r="B786"/>
      <c r="C786"/>
      <c r="D786"/>
      <c r="E786"/>
      <c r="F786"/>
      <c r="G786"/>
      <c r="H786"/>
      <c r="I786"/>
      <c r="J786"/>
      <c r="K786"/>
      <c r="L786"/>
    </row>
    <row r="787" spans="2:12" x14ac:dyDescent="0.25">
      <c r="B787"/>
      <c r="C787"/>
      <c r="D787"/>
      <c r="E787"/>
      <c r="F787"/>
      <c r="G787"/>
      <c r="H787"/>
      <c r="I787"/>
      <c r="J787"/>
      <c r="K787"/>
      <c r="L787"/>
    </row>
    <row r="788" spans="2:12" x14ac:dyDescent="0.25">
      <c r="B788"/>
      <c r="C788"/>
      <c r="D788"/>
      <c r="E788"/>
      <c r="F788"/>
      <c r="G788"/>
      <c r="H788"/>
      <c r="I788"/>
      <c r="J788"/>
      <c r="K788"/>
      <c r="L788"/>
    </row>
    <row r="789" spans="2:12" x14ac:dyDescent="0.25">
      <c r="B789"/>
      <c r="C789"/>
      <c r="D789"/>
      <c r="E789"/>
      <c r="F789"/>
      <c r="G789"/>
      <c r="H789"/>
      <c r="I789"/>
      <c r="J789"/>
      <c r="K789"/>
      <c r="L789"/>
    </row>
    <row r="790" spans="2:12" x14ac:dyDescent="0.25">
      <c r="B790"/>
      <c r="C790"/>
      <c r="D790"/>
      <c r="E790"/>
      <c r="F790"/>
      <c r="G790"/>
      <c r="H790"/>
      <c r="I790"/>
      <c r="J790"/>
      <c r="K790"/>
      <c r="L790"/>
    </row>
    <row r="791" spans="2:12" x14ac:dyDescent="0.25">
      <c r="B791"/>
      <c r="C791"/>
      <c r="D791"/>
      <c r="E791"/>
      <c r="F791"/>
      <c r="G791"/>
      <c r="H791"/>
      <c r="I791"/>
      <c r="J791"/>
      <c r="K791"/>
      <c r="L791"/>
    </row>
    <row r="792" spans="2:12" x14ac:dyDescent="0.25">
      <c r="B792"/>
      <c r="C792"/>
      <c r="D792"/>
      <c r="E792"/>
      <c r="F792"/>
      <c r="G792"/>
      <c r="H792"/>
      <c r="I792"/>
      <c r="J792"/>
      <c r="K792"/>
      <c r="L792"/>
    </row>
    <row r="793" spans="2:12" x14ac:dyDescent="0.25">
      <c r="B793"/>
      <c r="C793"/>
      <c r="D793"/>
      <c r="E793"/>
      <c r="F793"/>
      <c r="G793"/>
      <c r="H793"/>
      <c r="I793"/>
      <c r="J793"/>
      <c r="K793"/>
      <c r="L793"/>
    </row>
    <row r="794" spans="2:12" x14ac:dyDescent="0.25">
      <c r="B794"/>
      <c r="C794"/>
      <c r="D794"/>
      <c r="E794"/>
      <c r="F794"/>
      <c r="G794"/>
      <c r="H794"/>
      <c r="I794"/>
      <c r="J794"/>
      <c r="K794"/>
      <c r="L794"/>
    </row>
    <row r="795" spans="2:12" x14ac:dyDescent="0.25">
      <c r="B795"/>
      <c r="C795"/>
      <c r="D795"/>
      <c r="E795"/>
      <c r="F795"/>
      <c r="G795"/>
      <c r="H795"/>
      <c r="I795"/>
      <c r="J795"/>
      <c r="K795"/>
      <c r="L795"/>
    </row>
    <row r="796" spans="2:12" x14ac:dyDescent="0.25">
      <c r="B796"/>
      <c r="C796"/>
      <c r="D796"/>
      <c r="E796"/>
      <c r="F796"/>
      <c r="G796"/>
      <c r="H796"/>
      <c r="I796"/>
      <c r="J796"/>
      <c r="K796"/>
      <c r="L796"/>
    </row>
    <row r="797" spans="2:12" x14ac:dyDescent="0.25">
      <c r="B797"/>
      <c r="C797"/>
      <c r="D797"/>
      <c r="E797"/>
      <c r="F797"/>
      <c r="G797"/>
      <c r="H797"/>
      <c r="I797"/>
      <c r="J797"/>
      <c r="K797"/>
      <c r="L797"/>
    </row>
    <row r="798" spans="2:12" x14ac:dyDescent="0.25">
      <c r="B798"/>
      <c r="C798"/>
      <c r="D798"/>
      <c r="E798"/>
      <c r="F798"/>
      <c r="G798"/>
      <c r="H798"/>
      <c r="I798"/>
      <c r="J798"/>
      <c r="K798"/>
      <c r="L798"/>
    </row>
    <row r="799" spans="2:12" x14ac:dyDescent="0.25">
      <c r="B799"/>
      <c r="C799"/>
      <c r="D799"/>
      <c r="E799"/>
      <c r="F799"/>
      <c r="G799"/>
      <c r="H799"/>
      <c r="I799"/>
      <c r="J799"/>
      <c r="K799"/>
      <c r="L799"/>
    </row>
    <row r="800" spans="2:12" x14ac:dyDescent="0.25">
      <c r="B800"/>
      <c r="C800"/>
      <c r="D800"/>
      <c r="E800"/>
      <c r="F800"/>
      <c r="G800"/>
      <c r="H800"/>
      <c r="I800"/>
      <c r="J800"/>
      <c r="K800"/>
      <c r="L800"/>
    </row>
    <row r="801" spans="2:12" x14ac:dyDescent="0.25">
      <c r="B801"/>
      <c r="C801"/>
      <c r="D801"/>
      <c r="E801"/>
      <c r="F801"/>
      <c r="G801"/>
      <c r="H801"/>
      <c r="I801"/>
      <c r="J801"/>
      <c r="K801"/>
      <c r="L801"/>
    </row>
    <row r="802" spans="2:12" x14ac:dyDescent="0.25">
      <c r="B802"/>
      <c r="C802"/>
      <c r="D802"/>
      <c r="E802"/>
      <c r="F802"/>
      <c r="G802"/>
      <c r="H802"/>
      <c r="I802"/>
      <c r="J802"/>
      <c r="K802"/>
      <c r="L802"/>
    </row>
    <row r="803" spans="2:12" x14ac:dyDescent="0.25">
      <c r="B803"/>
      <c r="C803"/>
      <c r="D803"/>
      <c r="E803"/>
      <c r="F803"/>
      <c r="G803"/>
      <c r="H803"/>
      <c r="I803"/>
      <c r="J803"/>
      <c r="K803"/>
      <c r="L803"/>
    </row>
    <row r="804" spans="2:12" x14ac:dyDescent="0.25">
      <c r="B804"/>
      <c r="C804"/>
      <c r="D804"/>
      <c r="E804"/>
      <c r="F804"/>
      <c r="G804"/>
      <c r="H804"/>
      <c r="I804"/>
      <c r="J804"/>
      <c r="K804"/>
      <c r="L804"/>
    </row>
    <row r="805" spans="2:12" x14ac:dyDescent="0.25">
      <c r="B805"/>
      <c r="C805"/>
      <c r="D805"/>
      <c r="E805"/>
      <c r="F805"/>
      <c r="G805"/>
      <c r="H805"/>
      <c r="I805"/>
      <c r="J805"/>
      <c r="K805"/>
      <c r="L805"/>
    </row>
    <row r="806" spans="2:12" x14ac:dyDescent="0.25">
      <c r="B806"/>
      <c r="C806"/>
      <c r="D806"/>
      <c r="E806"/>
      <c r="F806"/>
      <c r="G806"/>
      <c r="H806"/>
      <c r="I806"/>
      <c r="J806"/>
      <c r="K806"/>
      <c r="L806"/>
    </row>
    <row r="807" spans="2:12" x14ac:dyDescent="0.25">
      <c r="B807"/>
      <c r="C807"/>
      <c r="D807"/>
      <c r="E807"/>
      <c r="F807"/>
      <c r="G807"/>
      <c r="H807"/>
      <c r="I807"/>
      <c r="J807"/>
      <c r="K807"/>
      <c r="L807"/>
    </row>
    <row r="808" spans="2:12" x14ac:dyDescent="0.25">
      <c r="B808"/>
      <c r="C808"/>
      <c r="D808"/>
      <c r="E808"/>
      <c r="F808"/>
      <c r="G808"/>
      <c r="H808"/>
      <c r="I808"/>
      <c r="J808"/>
      <c r="K808"/>
      <c r="L808"/>
    </row>
    <row r="809" spans="2:12" x14ac:dyDescent="0.25">
      <c r="B809"/>
      <c r="C809"/>
      <c r="D809"/>
      <c r="E809"/>
      <c r="F809"/>
      <c r="G809"/>
      <c r="H809"/>
      <c r="I809"/>
      <c r="J809"/>
      <c r="K809"/>
      <c r="L809"/>
    </row>
    <row r="810" spans="2:12" x14ac:dyDescent="0.25">
      <c r="B810"/>
      <c r="C810"/>
      <c r="D810"/>
      <c r="E810"/>
      <c r="F810"/>
      <c r="G810"/>
      <c r="H810"/>
      <c r="I810"/>
      <c r="J810"/>
      <c r="K810"/>
      <c r="L810"/>
    </row>
    <row r="811" spans="2:12" x14ac:dyDescent="0.25">
      <c r="B811"/>
      <c r="C811"/>
      <c r="D811"/>
      <c r="E811"/>
      <c r="F811"/>
      <c r="G811"/>
      <c r="H811"/>
      <c r="I811"/>
      <c r="J811"/>
      <c r="K811"/>
      <c r="L811"/>
    </row>
    <row r="812" spans="2:12" x14ac:dyDescent="0.25">
      <c r="B812"/>
      <c r="C812"/>
      <c r="D812"/>
      <c r="E812"/>
      <c r="F812"/>
      <c r="G812"/>
      <c r="H812"/>
      <c r="I812"/>
      <c r="J812"/>
      <c r="K812"/>
      <c r="L812"/>
    </row>
    <row r="813" spans="2:12" x14ac:dyDescent="0.25">
      <c r="B813"/>
      <c r="C813"/>
      <c r="D813"/>
      <c r="E813"/>
      <c r="F813"/>
      <c r="G813"/>
      <c r="H813"/>
      <c r="I813"/>
      <c r="J813"/>
      <c r="K813"/>
      <c r="L813"/>
    </row>
    <row r="814" spans="2:12" x14ac:dyDescent="0.25">
      <c r="B814"/>
      <c r="C814"/>
      <c r="D814"/>
      <c r="E814"/>
      <c r="F814"/>
      <c r="G814"/>
      <c r="H814"/>
      <c r="I814"/>
      <c r="J814"/>
      <c r="K814"/>
      <c r="L814"/>
    </row>
    <row r="815" spans="2:12" x14ac:dyDescent="0.25">
      <c r="B815"/>
      <c r="C815"/>
      <c r="D815"/>
      <c r="E815"/>
      <c r="F815"/>
      <c r="G815"/>
      <c r="H815"/>
      <c r="I815"/>
      <c r="J815"/>
      <c r="K815"/>
      <c r="L815"/>
    </row>
    <row r="816" spans="2:12" x14ac:dyDescent="0.25">
      <c r="B816"/>
      <c r="C816"/>
      <c r="D816"/>
      <c r="E816"/>
      <c r="F816"/>
      <c r="G816"/>
      <c r="H816"/>
      <c r="I816"/>
      <c r="J816"/>
      <c r="K816"/>
      <c r="L816"/>
    </row>
    <row r="817" spans="2:12" x14ac:dyDescent="0.25">
      <c r="B817"/>
      <c r="C817"/>
      <c r="D817"/>
      <c r="E817"/>
      <c r="F817"/>
      <c r="G817"/>
      <c r="H817"/>
      <c r="I817"/>
      <c r="J817"/>
      <c r="K817"/>
      <c r="L817"/>
    </row>
    <row r="818" spans="2:12" x14ac:dyDescent="0.25">
      <c r="B818"/>
      <c r="C818"/>
      <c r="D818"/>
      <c r="E818"/>
      <c r="F818"/>
      <c r="G818"/>
      <c r="H818"/>
      <c r="I818"/>
      <c r="J818"/>
      <c r="K818"/>
      <c r="L818"/>
    </row>
    <row r="819" spans="2:12" x14ac:dyDescent="0.25">
      <c r="B819"/>
      <c r="C819"/>
      <c r="D819"/>
      <c r="E819"/>
      <c r="F819"/>
      <c r="G819"/>
      <c r="H819"/>
      <c r="I819"/>
      <c r="J819"/>
      <c r="K819"/>
      <c r="L819"/>
    </row>
    <row r="820" spans="2:12" x14ac:dyDescent="0.25">
      <c r="B820"/>
      <c r="C820"/>
      <c r="D820"/>
      <c r="E820"/>
      <c r="F820"/>
      <c r="G820"/>
      <c r="H820"/>
      <c r="I820"/>
      <c r="J820"/>
      <c r="K820"/>
      <c r="L820"/>
    </row>
    <row r="821" spans="2:12" x14ac:dyDescent="0.25">
      <c r="B821"/>
      <c r="C821"/>
      <c r="D821"/>
      <c r="E821"/>
      <c r="F821"/>
      <c r="G821"/>
      <c r="H821"/>
      <c r="I821"/>
      <c r="J821"/>
      <c r="K821"/>
      <c r="L821"/>
    </row>
    <row r="822" spans="2:12" x14ac:dyDescent="0.25">
      <c r="B822"/>
      <c r="C822"/>
      <c r="D822"/>
      <c r="E822"/>
      <c r="F822"/>
      <c r="G822"/>
      <c r="H822"/>
      <c r="I822"/>
      <c r="J822"/>
      <c r="K822"/>
      <c r="L822"/>
    </row>
    <row r="823" spans="2:12" x14ac:dyDescent="0.25">
      <c r="B823"/>
      <c r="C823"/>
      <c r="D823"/>
      <c r="E823"/>
      <c r="F823"/>
      <c r="G823"/>
      <c r="H823"/>
      <c r="I823"/>
      <c r="J823"/>
      <c r="K823"/>
      <c r="L823"/>
    </row>
    <row r="824" spans="2:12" x14ac:dyDescent="0.25">
      <c r="B824"/>
      <c r="C824"/>
      <c r="D824"/>
      <c r="E824"/>
      <c r="F824"/>
      <c r="G824"/>
      <c r="H824"/>
      <c r="I824"/>
      <c r="J824"/>
      <c r="K824"/>
      <c r="L824"/>
    </row>
    <row r="825" spans="2:12" x14ac:dyDescent="0.25">
      <c r="B825"/>
      <c r="C825"/>
      <c r="D825"/>
      <c r="E825"/>
      <c r="F825"/>
      <c r="G825"/>
      <c r="H825"/>
      <c r="I825"/>
      <c r="J825"/>
      <c r="K825"/>
      <c r="L825"/>
    </row>
    <row r="826" spans="2:12" x14ac:dyDescent="0.25">
      <c r="B826"/>
      <c r="C826"/>
      <c r="D826"/>
      <c r="E826"/>
      <c r="F826"/>
      <c r="G826"/>
      <c r="H826"/>
      <c r="I826"/>
      <c r="J826"/>
      <c r="K826"/>
      <c r="L826"/>
    </row>
    <row r="827" spans="2:12" x14ac:dyDescent="0.25">
      <c r="B827"/>
      <c r="C827"/>
      <c r="D827"/>
      <c r="E827"/>
      <c r="F827"/>
      <c r="G827"/>
      <c r="H827"/>
      <c r="I827"/>
      <c r="J827"/>
      <c r="K827"/>
      <c r="L827"/>
    </row>
    <row r="828" spans="2:12" x14ac:dyDescent="0.25">
      <c r="B828"/>
      <c r="C828"/>
      <c r="D828"/>
      <c r="E828"/>
      <c r="F828"/>
      <c r="G828"/>
      <c r="H828"/>
      <c r="I828"/>
      <c r="J828"/>
      <c r="K828"/>
      <c r="L828"/>
    </row>
    <row r="829" spans="2:12" x14ac:dyDescent="0.25">
      <c r="B829"/>
      <c r="C829"/>
      <c r="D829"/>
      <c r="E829"/>
      <c r="F829"/>
      <c r="G829"/>
      <c r="H829"/>
      <c r="I829"/>
      <c r="J829"/>
      <c r="K829"/>
      <c r="L829"/>
    </row>
    <row r="830" spans="2:12" x14ac:dyDescent="0.25">
      <c r="B830"/>
      <c r="C830"/>
      <c r="D830"/>
      <c r="E830"/>
      <c r="F830"/>
      <c r="G830"/>
      <c r="H830"/>
      <c r="I830"/>
      <c r="J830"/>
      <c r="K830"/>
      <c r="L830"/>
    </row>
    <row r="831" spans="2:12" x14ac:dyDescent="0.25">
      <c r="B831"/>
      <c r="C831"/>
      <c r="D831"/>
      <c r="E831"/>
      <c r="F831"/>
      <c r="G831"/>
      <c r="H831"/>
      <c r="I831"/>
      <c r="J831"/>
      <c r="K831"/>
      <c r="L831"/>
    </row>
    <row r="832" spans="2:12" x14ac:dyDescent="0.25">
      <c r="B832"/>
      <c r="C832"/>
      <c r="D832"/>
      <c r="E832"/>
      <c r="F832"/>
      <c r="G832"/>
      <c r="H832"/>
      <c r="I832"/>
      <c r="J832"/>
      <c r="K832"/>
      <c r="L832"/>
    </row>
    <row r="833" spans="2:12" x14ac:dyDescent="0.25">
      <c r="B833"/>
      <c r="C833"/>
      <c r="D833"/>
      <c r="E833"/>
      <c r="F833"/>
      <c r="G833"/>
      <c r="H833"/>
      <c r="I833"/>
      <c r="J833"/>
      <c r="K833"/>
      <c r="L833"/>
    </row>
    <row r="834" spans="2:12" x14ac:dyDescent="0.25">
      <c r="B834"/>
      <c r="C834"/>
      <c r="D834"/>
      <c r="E834"/>
      <c r="F834"/>
      <c r="G834"/>
      <c r="H834"/>
      <c r="I834"/>
      <c r="J834"/>
      <c r="K834"/>
      <c r="L834"/>
    </row>
    <row r="835" spans="2:12" x14ac:dyDescent="0.25">
      <c r="B835"/>
      <c r="C835"/>
      <c r="D835"/>
      <c r="E835"/>
      <c r="F835"/>
      <c r="G835"/>
      <c r="H835"/>
      <c r="I835"/>
      <c r="J835"/>
      <c r="K835"/>
      <c r="L835"/>
    </row>
    <row r="836" spans="2:12" x14ac:dyDescent="0.25">
      <c r="B836"/>
      <c r="C836"/>
      <c r="D836"/>
      <c r="E836"/>
      <c r="F836"/>
      <c r="G836"/>
      <c r="H836"/>
      <c r="I836"/>
      <c r="J836"/>
      <c r="K836"/>
      <c r="L836"/>
    </row>
    <row r="837" spans="2:12" x14ac:dyDescent="0.25">
      <c r="B837"/>
      <c r="C837"/>
      <c r="D837"/>
      <c r="E837"/>
      <c r="F837"/>
      <c r="G837"/>
      <c r="H837"/>
      <c r="I837"/>
      <c r="J837"/>
      <c r="K837"/>
      <c r="L837"/>
    </row>
    <row r="838" spans="2:12" x14ac:dyDescent="0.25">
      <c r="B838"/>
      <c r="C838"/>
      <c r="D838"/>
      <c r="E838"/>
      <c r="F838"/>
      <c r="G838"/>
      <c r="H838"/>
      <c r="I838"/>
      <c r="J838"/>
      <c r="K838"/>
      <c r="L838"/>
    </row>
    <row r="839" spans="2:12" x14ac:dyDescent="0.25">
      <c r="B839"/>
      <c r="C839"/>
      <c r="D839"/>
      <c r="E839"/>
      <c r="F839"/>
      <c r="G839"/>
      <c r="H839"/>
      <c r="I839"/>
      <c r="J839"/>
      <c r="K839"/>
      <c r="L839"/>
    </row>
    <row r="840" spans="2:12" x14ac:dyDescent="0.25">
      <c r="B840"/>
      <c r="C840"/>
      <c r="D840"/>
      <c r="E840"/>
      <c r="F840"/>
      <c r="G840"/>
      <c r="H840"/>
      <c r="I840"/>
      <c r="J840"/>
      <c r="K840"/>
      <c r="L840"/>
    </row>
    <row r="841" spans="2:12" x14ac:dyDescent="0.25">
      <c r="B841"/>
      <c r="C841"/>
      <c r="D841"/>
      <c r="E841"/>
      <c r="F841"/>
      <c r="G841"/>
      <c r="H841"/>
      <c r="I841"/>
      <c r="J841"/>
      <c r="K841"/>
      <c r="L841"/>
    </row>
    <row r="842" spans="2:12" x14ac:dyDescent="0.25">
      <c r="B842"/>
      <c r="C842"/>
      <c r="D842"/>
      <c r="E842"/>
      <c r="F842"/>
      <c r="G842"/>
      <c r="H842"/>
      <c r="I842"/>
      <c r="J842"/>
      <c r="K842"/>
      <c r="L842"/>
    </row>
    <row r="843" spans="2:12" x14ac:dyDescent="0.25">
      <c r="B843"/>
      <c r="C843"/>
      <c r="D843"/>
      <c r="E843"/>
      <c r="F843"/>
      <c r="G843"/>
      <c r="H843"/>
      <c r="I843"/>
      <c r="J843"/>
      <c r="K843"/>
      <c r="L843"/>
    </row>
    <row r="844" spans="2:12" x14ac:dyDescent="0.25">
      <c r="B844"/>
      <c r="C844"/>
      <c r="D844"/>
      <c r="E844"/>
      <c r="F844"/>
      <c r="G844"/>
      <c r="H844"/>
      <c r="I844"/>
      <c r="J844"/>
      <c r="K844"/>
      <c r="L844"/>
    </row>
    <row r="845" spans="2:12" x14ac:dyDescent="0.25">
      <c r="B845"/>
      <c r="C845"/>
      <c r="D845"/>
      <c r="E845"/>
      <c r="F845"/>
      <c r="G845"/>
      <c r="H845"/>
      <c r="I845"/>
      <c r="J845"/>
      <c r="K845"/>
      <c r="L845"/>
    </row>
    <row r="846" spans="2:12" x14ac:dyDescent="0.25">
      <c r="B846"/>
      <c r="C846"/>
      <c r="D846"/>
      <c r="E846"/>
      <c r="F846"/>
      <c r="G846"/>
      <c r="H846"/>
      <c r="I846"/>
      <c r="J846"/>
      <c r="K846"/>
      <c r="L846"/>
    </row>
    <row r="847" spans="2:12" x14ac:dyDescent="0.25">
      <c r="B847"/>
      <c r="C847"/>
      <c r="D847"/>
      <c r="E847"/>
      <c r="F847"/>
      <c r="G847"/>
      <c r="H847"/>
      <c r="I847"/>
      <c r="J847"/>
      <c r="K847"/>
      <c r="L847"/>
    </row>
    <row r="848" spans="2:12" x14ac:dyDescent="0.25">
      <c r="B848"/>
      <c r="C848"/>
      <c r="D848"/>
      <c r="E848"/>
      <c r="F848"/>
      <c r="G848"/>
      <c r="H848"/>
      <c r="I848"/>
      <c r="J848"/>
      <c r="K848"/>
      <c r="L848"/>
    </row>
    <row r="849" spans="2:12" x14ac:dyDescent="0.25">
      <c r="B849"/>
      <c r="C849"/>
      <c r="D849"/>
      <c r="E849"/>
      <c r="F849"/>
      <c r="G849"/>
      <c r="H849"/>
      <c r="I849"/>
      <c r="J849"/>
      <c r="K849"/>
      <c r="L849"/>
    </row>
    <row r="850" spans="2:12" x14ac:dyDescent="0.25">
      <c r="B850"/>
      <c r="C850"/>
      <c r="D850"/>
      <c r="E850"/>
      <c r="F850"/>
      <c r="G850"/>
      <c r="H850"/>
      <c r="I850"/>
      <c r="J850"/>
      <c r="K850"/>
      <c r="L850"/>
    </row>
    <row r="851" spans="2:12" x14ac:dyDescent="0.25">
      <c r="B851"/>
      <c r="C851"/>
      <c r="D851"/>
      <c r="E851"/>
      <c r="F851"/>
      <c r="G851"/>
      <c r="H851"/>
      <c r="I851"/>
      <c r="J851"/>
      <c r="K851"/>
      <c r="L851"/>
    </row>
    <row r="852" spans="2:12" x14ac:dyDescent="0.25">
      <c r="B852"/>
      <c r="C852"/>
      <c r="D852"/>
      <c r="E852"/>
      <c r="F852"/>
      <c r="G852"/>
      <c r="H852"/>
      <c r="I852"/>
      <c r="J852"/>
      <c r="K852"/>
      <c r="L852"/>
    </row>
    <row r="853" spans="2:12" x14ac:dyDescent="0.25">
      <c r="B853"/>
      <c r="C853"/>
      <c r="D853"/>
      <c r="E853"/>
      <c r="F853"/>
      <c r="G853"/>
      <c r="H853"/>
      <c r="I853"/>
      <c r="J853"/>
      <c r="K853"/>
      <c r="L853"/>
    </row>
    <row r="854" spans="2:12" x14ac:dyDescent="0.25">
      <c r="B854"/>
      <c r="C854"/>
      <c r="D854"/>
      <c r="E854"/>
      <c r="F854"/>
      <c r="G854"/>
      <c r="H854"/>
      <c r="I854"/>
      <c r="J854"/>
      <c r="K854"/>
      <c r="L854"/>
    </row>
    <row r="855" spans="2:12" x14ac:dyDescent="0.25">
      <c r="B855"/>
      <c r="C855"/>
      <c r="D855"/>
      <c r="E855"/>
      <c r="F855"/>
      <c r="G855"/>
      <c r="H855"/>
      <c r="I855"/>
      <c r="J855"/>
      <c r="K855"/>
      <c r="L855"/>
    </row>
    <row r="856" spans="2:12" x14ac:dyDescent="0.25">
      <c r="B856"/>
      <c r="C856"/>
      <c r="D856"/>
      <c r="E856"/>
      <c r="F856"/>
      <c r="G856"/>
      <c r="H856"/>
      <c r="I856"/>
      <c r="J856"/>
      <c r="K856"/>
      <c r="L856"/>
    </row>
  </sheetData>
  <phoneticPr fontId="6" type="noConversion"/>
  <pageMargins left="1" right="1" top="1.1399999999999999" bottom="0.75" header="0.5" footer="0.5"/>
  <pageSetup fitToHeight="0" orientation="landscape" r:id="rId1"/>
  <headerFooter alignWithMargins="0">
    <oddHeader>&amp;C&amp;11Acme Enterprises Inc._x000D_123 Easy Street Suite 333 | WILLIAMSVILLE, LA 123_x000D_EIN: 04-2003714</oddHeader>
    <oddFooter>&amp;C&amp;"Arial,Bold"&amp;15 Employee Cost Comparison&amp;R&amp;11 For Jan 1 - Mar 31, 2012 and Jan 1 - Mar 31, 2013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43"/>
  <sheetViews>
    <sheetView showGridLines="0" tabSelected="1" topLeftCell="A22" workbookViewId="0">
      <selection sqref="A1:D1"/>
    </sheetView>
  </sheetViews>
  <sheetFormatPr defaultColWidth="9.109375" defaultRowHeight="13.2" x14ac:dyDescent="0.25"/>
  <cols>
    <col min="1" max="1" width="27.6640625" style="9" bestFit="1" customWidth="1"/>
    <col min="2" max="2" width="11.5546875" style="8" bestFit="1" customWidth="1"/>
    <col min="3" max="3" width="11.6640625" style="8" bestFit="1" customWidth="1"/>
    <col min="4" max="4" width="10.109375" style="8" bestFit="1" customWidth="1"/>
    <col min="5" max="5" width="8.109375" style="8" bestFit="1" customWidth="1"/>
    <col min="6" max="6" width="10.109375" style="8" bestFit="1" customWidth="1"/>
    <col min="7" max="7" width="7.77734375" style="8" bestFit="1" customWidth="1"/>
    <col min="8" max="8" width="10.109375" style="8" bestFit="1" customWidth="1"/>
    <col min="9" max="9" width="8.109375" style="8" bestFit="1" customWidth="1"/>
    <col min="10" max="10" width="10.109375" style="8" bestFit="1" customWidth="1"/>
    <col min="11" max="11" width="8.109375" style="8" bestFit="1" customWidth="1"/>
    <col min="12" max="12" width="10.109375" style="8" bestFit="1" customWidth="1"/>
    <col min="13" max="13" width="7.77734375" style="8" bestFit="1" customWidth="1"/>
    <col min="14" max="14" width="9.109375" style="8" bestFit="1" customWidth="1"/>
    <col min="15" max="15" width="10.109375" style="8" bestFit="1" customWidth="1"/>
    <col min="16" max="37" width="9.109375" style="8"/>
    <col min="38" max="38" width="2" style="8" bestFit="1" customWidth="1"/>
    <col min="39" max="39" width="7" style="8" bestFit="1" customWidth="1"/>
    <col min="40" max="16384" width="9.109375" style="8"/>
  </cols>
  <sheetData>
    <row r="1" spans="1:14" ht="19.95" customHeight="1" x14ac:dyDescent="0.3">
      <c r="A1" s="136" t="s">
        <v>431</v>
      </c>
      <c r="B1" s="84"/>
      <c r="C1" s="84"/>
      <c r="D1" s="84"/>
      <c r="E1" s="32"/>
      <c r="F1" s="32"/>
      <c r="G1" s="32"/>
      <c r="H1" s="32"/>
      <c r="I1" s="114" t="s">
        <v>418</v>
      </c>
      <c r="J1" s="115"/>
      <c r="K1" s="115"/>
      <c r="L1" s="115"/>
      <c r="M1" s="115"/>
      <c r="N1" s="115"/>
    </row>
    <row r="2" spans="1:14" ht="4.95" customHeight="1" x14ac:dyDescent="0.25"/>
    <row r="3" spans="1:14" ht="15" customHeight="1" x14ac:dyDescent="0.25">
      <c r="A3" s="116" t="s">
        <v>432</v>
      </c>
      <c r="B3" s="116"/>
      <c r="C3" s="123"/>
      <c r="D3" s="117" t="s">
        <v>433</v>
      </c>
      <c r="E3" s="128"/>
      <c r="F3" s="117" t="s">
        <v>434</v>
      </c>
      <c r="G3" s="128"/>
      <c r="H3" s="117" t="s">
        <v>435</v>
      </c>
      <c r="I3" s="128"/>
      <c r="J3" s="117" t="s">
        <v>436</v>
      </c>
      <c r="K3" s="128"/>
      <c r="L3" s="117" t="s">
        <v>437</v>
      </c>
      <c r="M3" s="128"/>
      <c r="N3" s="116"/>
    </row>
    <row r="4" spans="1:14" ht="15" customHeight="1" x14ac:dyDescent="0.25">
      <c r="A4" s="119"/>
      <c r="B4" s="119"/>
      <c r="C4" s="124" t="s">
        <v>438</v>
      </c>
      <c r="D4" s="119" t="s">
        <v>126</v>
      </c>
      <c r="E4" s="129" t="s">
        <v>124</v>
      </c>
      <c r="F4" s="119" t="s">
        <v>126</v>
      </c>
      <c r="G4" s="129" t="s">
        <v>124</v>
      </c>
      <c r="H4" s="119" t="s">
        <v>126</v>
      </c>
      <c r="I4" s="129" t="s">
        <v>124</v>
      </c>
      <c r="J4" s="119" t="s">
        <v>126</v>
      </c>
      <c r="K4" s="129" t="s">
        <v>124</v>
      </c>
      <c r="L4" s="119" t="s">
        <v>126</v>
      </c>
      <c r="M4" s="129" t="s">
        <v>124</v>
      </c>
      <c r="N4" s="119" t="s">
        <v>439</v>
      </c>
    </row>
    <row r="5" spans="1:14" x14ac:dyDescent="0.25">
      <c r="A5" s="121"/>
      <c r="B5" s="11"/>
      <c r="C5" s="125">
        <v>42977</v>
      </c>
      <c r="D5" s="48">
        <v>54255.200000000012</v>
      </c>
      <c r="E5" s="130">
        <v>3685</v>
      </c>
      <c r="F5" s="49"/>
      <c r="G5" s="132"/>
      <c r="H5" s="48">
        <v>55266.740000000013</v>
      </c>
      <c r="I5" s="130">
        <v>6852.98</v>
      </c>
      <c r="J5" s="48">
        <v>55266.740000000013</v>
      </c>
      <c r="K5" s="130">
        <v>1602.7799999999997</v>
      </c>
      <c r="L5" s="49">
        <v>0</v>
      </c>
      <c r="M5" s="132">
        <v>0</v>
      </c>
      <c r="N5" s="48">
        <v>12140.759999999998</v>
      </c>
    </row>
    <row r="6" spans="1:14" x14ac:dyDescent="0.25">
      <c r="A6" s="50" t="s">
        <v>440</v>
      </c>
      <c r="B6" s="52"/>
      <c r="C6" s="126"/>
      <c r="D6" s="51">
        <f>SUBTOTAL(9,D$5:D5)</f>
        <v>54255.200000000012</v>
      </c>
      <c r="E6" s="131">
        <f>SUBTOTAL(9,E$5:E5)</f>
        <v>3685</v>
      </c>
      <c r="F6" s="52">
        <f>SUBTOTAL(9,F$5:F5)</f>
        <v>0</v>
      </c>
      <c r="G6" s="126">
        <f>SUBTOTAL(9,G$5:G5)</f>
        <v>0</v>
      </c>
      <c r="H6" s="51">
        <f>SUBTOTAL(9,H$5:H5)</f>
        <v>55266.740000000013</v>
      </c>
      <c r="I6" s="131">
        <f>SUBTOTAL(9,I$5:I5)</f>
        <v>6852.98</v>
      </c>
      <c r="J6" s="51">
        <f>SUBTOTAL(9,J$5:J5)</f>
        <v>55266.740000000013</v>
      </c>
      <c r="K6" s="131">
        <f>SUBTOTAL(9,K$5:K5)</f>
        <v>1602.7799999999997</v>
      </c>
      <c r="L6" s="52">
        <f>SUBTOTAL(9,L$5:L5)</f>
        <v>0</v>
      </c>
      <c r="M6" s="126">
        <f>SUBTOTAL(9,M$5:M5)</f>
        <v>0</v>
      </c>
      <c r="N6" s="51">
        <f>SUBTOTAL(9,N$5:N5)</f>
        <v>12140.759999999998</v>
      </c>
    </row>
    <row r="7" spans="1:14" x14ac:dyDescent="0.25">
      <c r="C7" s="127"/>
      <c r="E7" s="127"/>
      <c r="G7" s="127"/>
      <c r="I7" s="127"/>
      <c r="K7" s="127"/>
      <c r="M7" s="127"/>
    </row>
    <row r="8" spans="1:14" ht="15" customHeight="1" x14ac:dyDescent="0.25">
      <c r="A8" s="116" t="s">
        <v>441</v>
      </c>
      <c r="B8" s="116"/>
      <c r="C8" s="123"/>
      <c r="D8" s="117" t="s">
        <v>433</v>
      </c>
      <c r="E8" s="128"/>
      <c r="F8" s="117" t="s">
        <v>434</v>
      </c>
      <c r="G8" s="128"/>
      <c r="H8" s="117" t="s">
        <v>435</v>
      </c>
      <c r="I8" s="128"/>
      <c r="J8" s="117" t="s">
        <v>436</v>
      </c>
      <c r="K8" s="128"/>
      <c r="L8" s="117" t="s">
        <v>437</v>
      </c>
      <c r="M8" s="128"/>
      <c r="N8" s="116"/>
    </row>
    <row r="9" spans="1:14" ht="15" customHeight="1" x14ac:dyDescent="0.25">
      <c r="A9" s="116" t="s">
        <v>442</v>
      </c>
      <c r="B9" s="120" t="s">
        <v>443</v>
      </c>
      <c r="C9" s="124" t="s">
        <v>438</v>
      </c>
      <c r="D9" s="119"/>
      <c r="E9" s="129" t="s">
        <v>124</v>
      </c>
      <c r="F9" s="119"/>
      <c r="G9" s="129" t="s">
        <v>124</v>
      </c>
      <c r="H9" s="119"/>
      <c r="I9" s="129" t="s">
        <v>124</v>
      </c>
      <c r="J9" s="119"/>
      <c r="K9" s="129" t="s">
        <v>124</v>
      </c>
      <c r="L9" s="119"/>
      <c r="M9" s="129" t="s">
        <v>124</v>
      </c>
      <c r="N9" s="119" t="s">
        <v>439</v>
      </c>
    </row>
    <row r="10" spans="1:14" ht="19.95" customHeight="1" x14ac:dyDescent="0.25">
      <c r="A10" s="50" t="s">
        <v>444</v>
      </c>
      <c r="B10" s="52"/>
      <c r="C10" s="126"/>
      <c r="D10" s="52"/>
      <c r="E10" s="126"/>
      <c r="F10" s="52"/>
      <c r="G10" s="126"/>
      <c r="H10" s="52"/>
      <c r="I10" s="126"/>
      <c r="J10" s="52"/>
      <c r="K10" s="126"/>
      <c r="L10" s="52"/>
      <c r="M10" s="126"/>
      <c r="N10" s="52"/>
    </row>
    <row r="11" spans="1:14" x14ac:dyDescent="0.25">
      <c r="A11" s="50" t="s">
        <v>445</v>
      </c>
      <c r="B11" s="52"/>
      <c r="C11" s="126"/>
      <c r="D11" s="52"/>
      <c r="E11" s="131">
        <f>SUBTOTAL(9,E$5:E10)</f>
        <v>3685</v>
      </c>
      <c r="F11" s="52"/>
      <c r="G11" s="126">
        <f>SUBTOTAL(9,G$5:G10)</f>
        <v>0</v>
      </c>
      <c r="H11" s="52"/>
      <c r="I11" s="131">
        <f>SUBTOTAL(9,I$5:I10)</f>
        <v>6852.98</v>
      </c>
      <c r="J11" s="52"/>
      <c r="K11" s="131">
        <f>SUBTOTAL(9,K$5:K10)</f>
        <v>1602.7799999999997</v>
      </c>
      <c r="L11" s="52"/>
      <c r="M11" s="126">
        <f>SUBTOTAL(9,M$5:M10)</f>
        <v>0</v>
      </c>
      <c r="N11" s="51">
        <f>SUBTOTAL(9,N$5:N10)</f>
        <v>12140.759999999998</v>
      </c>
    </row>
    <row r="13" spans="1:14" ht="15" customHeight="1" x14ac:dyDescent="0.25">
      <c r="A13" s="38" t="s">
        <v>446</v>
      </c>
      <c r="B13" s="38"/>
      <c r="C13" s="38" t="s">
        <v>108</v>
      </c>
    </row>
    <row r="14" spans="1:14" x14ac:dyDescent="0.25">
      <c r="A14" s="133" t="s">
        <v>447</v>
      </c>
      <c r="B14" s="134"/>
      <c r="C14" s="135">
        <f>SUM($C$15:$C$18)</f>
        <v>12140.759999999998</v>
      </c>
    </row>
    <row r="15" spans="1:14" x14ac:dyDescent="0.25">
      <c r="A15" s="9" t="s">
        <v>448</v>
      </c>
      <c r="C15" s="48">
        <f>$I$11</f>
        <v>6852.98</v>
      </c>
    </row>
    <row r="16" spans="1:14" x14ac:dyDescent="0.25">
      <c r="A16" s="9" t="s">
        <v>449</v>
      </c>
      <c r="C16" s="48">
        <f>$K$11+$M$11</f>
        <v>1602.7799999999997</v>
      </c>
    </row>
    <row r="17" spans="1:12" x14ac:dyDescent="0.25">
      <c r="A17" s="9" t="s">
        <v>450</v>
      </c>
      <c r="C17" s="48">
        <f>$E$11+$G$11</f>
        <v>3685</v>
      </c>
    </row>
    <row r="18" spans="1:12" x14ac:dyDescent="0.25">
      <c r="C18" s="49"/>
    </row>
    <row r="20" spans="1:12" ht="19.95" customHeight="1" x14ac:dyDescent="0.3">
      <c r="A20" s="136" t="s">
        <v>451</v>
      </c>
      <c r="B20" s="84"/>
      <c r="C20" s="84"/>
      <c r="D20" s="84"/>
      <c r="E20" s="32"/>
      <c r="F20" s="32"/>
      <c r="G20" s="32"/>
      <c r="H20" s="32"/>
      <c r="I20" s="114" t="s">
        <v>418</v>
      </c>
      <c r="J20" s="137"/>
      <c r="K20" s="137"/>
      <c r="L20" s="137"/>
    </row>
    <row r="21" spans="1:12" ht="4.95" customHeight="1" x14ac:dyDescent="0.25"/>
    <row r="22" spans="1:12" ht="15" customHeight="1" x14ac:dyDescent="0.25">
      <c r="A22" s="116" t="s">
        <v>432</v>
      </c>
      <c r="B22" s="116"/>
      <c r="C22" s="123"/>
      <c r="D22" s="117" t="s">
        <v>139</v>
      </c>
      <c r="E22" s="118"/>
    </row>
    <row r="23" spans="1:12" ht="15" customHeight="1" x14ac:dyDescent="0.25">
      <c r="A23" s="119"/>
      <c r="B23" s="119"/>
      <c r="C23" s="124" t="s">
        <v>438</v>
      </c>
      <c r="D23" s="119" t="s">
        <v>126</v>
      </c>
      <c r="E23" s="119" t="s">
        <v>124</v>
      </c>
    </row>
    <row r="24" spans="1:12" x14ac:dyDescent="0.25">
      <c r="A24" s="121"/>
      <c r="B24" s="11"/>
      <c r="C24" s="125">
        <v>42977</v>
      </c>
      <c r="D24" s="48">
        <v>9366.1799999999985</v>
      </c>
      <c r="E24" s="48">
        <v>56.190000000000005</v>
      </c>
    </row>
    <row r="25" spans="1:12" x14ac:dyDescent="0.25">
      <c r="A25" s="50" t="s">
        <v>440</v>
      </c>
      <c r="B25" s="52"/>
      <c r="C25" s="126"/>
      <c r="D25" s="51">
        <f>SUBTOTAL(9,D$24:D24)</f>
        <v>9366.1799999999985</v>
      </c>
      <c r="E25" s="51">
        <f>SUBTOTAL(9,E$24:E24)</f>
        <v>56.190000000000005</v>
      </c>
    </row>
    <row r="26" spans="1:12" x14ac:dyDescent="0.25">
      <c r="C26" s="127"/>
    </row>
    <row r="27" spans="1:12" ht="15" customHeight="1" x14ac:dyDescent="0.25">
      <c r="A27" s="116" t="s">
        <v>441</v>
      </c>
      <c r="B27" s="116"/>
      <c r="C27" s="123"/>
      <c r="D27" s="117" t="s">
        <v>139</v>
      </c>
      <c r="E27" s="118"/>
    </row>
    <row r="28" spans="1:12" ht="15" customHeight="1" x14ac:dyDescent="0.25">
      <c r="A28" s="116" t="s">
        <v>442</v>
      </c>
      <c r="B28" s="120" t="s">
        <v>443</v>
      </c>
      <c r="C28" s="124" t="s">
        <v>438</v>
      </c>
      <c r="D28" s="119"/>
      <c r="E28" s="119" t="s">
        <v>124</v>
      </c>
    </row>
    <row r="29" spans="1:12" ht="19.95" customHeight="1" x14ac:dyDescent="0.25">
      <c r="A29" s="50" t="s">
        <v>444</v>
      </c>
      <c r="B29" s="52"/>
      <c r="C29" s="126"/>
      <c r="D29" s="52"/>
      <c r="E29" s="52"/>
    </row>
    <row r="30" spans="1:12" x14ac:dyDescent="0.25">
      <c r="A30" s="50" t="s">
        <v>445</v>
      </c>
      <c r="B30" s="52"/>
      <c r="C30" s="126"/>
      <c r="D30" s="52"/>
      <c r="E30" s="51">
        <f>SUBTOTAL(9,E$24:E29)</f>
        <v>56.190000000000005</v>
      </c>
    </row>
    <row r="33" spans="1:12" ht="19.95" customHeight="1" x14ac:dyDescent="0.3">
      <c r="A33" s="136" t="s">
        <v>452</v>
      </c>
      <c r="B33" s="84"/>
      <c r="C33" s="84"/>
      <c r="D33" s="84"/>
      <c r="E33" s="32"/>
      <c r="F33" s="32"/>
      <c r="G33" s="32"/>
      <c r="H33" s="32"/>
      <c r="I33" s="114" t="s">
        <v>418</v>
      </c>
      <c r="J33" s="137"/>
      <c r="K33" s="137"/>
      <c r="L33" s="137"/>
    </row>
    <row r="34" spans="1:12" ht="4.95" customHeight="1" x14ac:dyDescent="0.25"/>
    <row r="35" spans="1:12" ht="15" customHeight="1" x14ac:dyDescent="0.25">
      <c r="A35" s="116" t="s">
        <v>432</v>
      </c>
      <c r="B35" s="116"/>
      <c r="C35" s="123"/>
      <c r="D35" s="117" t="s">
        <v>429</v>
      </c>
      <c r="E35" s="128"/>
      <c r="F35" s="117" t="s">
        <v>453</v>
      </c>
      <c r="G35" s="128"/>
      <c r="H35" s="117" t="s">
        <v>454</v>
      </c>
      <c r="I35" s="128"/>
      <c r="J35" s="117" t="s">
        <v>455</v>
      </c>
      <c r="K35" s="128"/>
      <c r="L35" s="116"/>
    </row>
    <row r="36" spans="1:12" ht="15" customHeight="1" x14ac:dyDescent="0.25">
      <c r="A36" s="119"/>
      <c r="B36" s="120" t="s">
        <v>438</v>
      </c>
      <c r="C36" s="124" t="s">
        <v>456</v>
      </c>
      <c r="D36" s="119" t="s">
        <v>126</v>
      </c>
      <c r="E36" s="129" t="s">
        <v>124</v>
      </c>
      <c r="F36" s="119" t="s">
        <v>126</v>
      </c>
      <c r="G36" s="129" t="s">
        <v>124</v>
      </c>
      <c r="H36" s="119" t="s">
        <v>126</v>
      </c>
      <c r="I36" s="129" t="s">
        <v>124</v>
      </c>
      <c r="J36" s="119" t="s">
        <v>126</v>
      </c>
      <c r="K36" s="129" t="s">
        <v>124</v>
      </c>
      <c r="L36" s="119" t="s">
        <v>439</v>
      </c>
    </row>
    <row r="37" spans="1:12" x14ac:dyDescent="0.25">
      <c r="A37" s="121"/>
      <c r="B37" s="122">
        <v>42977</v>
      </c>
      <c r="C37" s="138" t="s">
        <v>107</v>
      </c>
      <c r="D37" s="48">
        <v>54255.200000000012</v>
      </c>
      <c r="E37" s="130">
        <v>881.0200000000001</v>
      </c>
      <c r="F37" s="48">
        <v>9366.1799999999985</v>
      </c>
      <c r="G37" s="130">
        <v>271.64</v>
      </c>
      <c r="H37" s="48">
        <v>55266.740000000013</v>
      </c>
      <c r="I37" s="130">
        <v>497.42</v>
      </c>
      <c r="J37" s="48">
        <v>9366.1799999999985</v>
      </c>
      <c r="K37" s="130">
        <v>9.3999999999999986</v>
      </c>
      <c r="L37" s="48">
        <v>1659.48</v>
      </c>
    </row>
    <row r="38" spans="1:12" x14ac:dyDescent="0.25">
      <c r="A38" s="50" t="s">
        <v>440</v>
      </c>
      <c r="B38" s="52"/>
      <c r="C38" s="126"/>
      <c r="D38" s="51">
        <f>SUBTOTAL(9,D$37:D37)</f>
        <v>54255.200000000012</v>
      </c>
      <c r="E38" s="131">
        <f>SUBTOTAL(9,E$37:E37)</f>
        <v>881.0200000000001</v>
      </c>
      <c r="F38" s="51">
        <f>SUBTOTAL(9,F$37:F37)</f>
        <v>9366.1799999999985</v>
      </c>
      <c r="G38" s="131">
        <f>SUBTOTAL(9,G$37:G37)</f>
        <v>271.64</v>
      </c>
      <c r="H38" s="51">
        <f>SUBTOTAL(9,H$37:H37)</f>
        <v>55266.740000000013</v>
      </c>
      <c r="I38" s="131">
        <f>SUBTOTAL(9,I$37:I37)</f>
        <v>497.42</v>
      </c>
      <c r="J38" s="51">
        <f>SUBTOTAL(9,J$37:J37)</f>
        <v>9366.1799999999985</v>
      </c>
      <c r="K38" s="131">
        <f>SUBTOTAL(9,K$37:K37)</f>
        <v>9.3999999999999986</v>
      </c>
      <c r="L38" s="51">
        <f>SUBTOTAL(9,L$37:L37)</f>
        <v>1659.48</v>
      </c>
    </row>
    <row r="39" spans="1:12" x14ac:dyDescent="0.25">
      <c r="C39" s="127"/>
      <c r="E39" s="127"/>
      <c r="G39" s="127"/>
      <c r="I39" s="127"/>
      <c r="K39" s="127"/>
    </row>
    <row r="40" spans="1:12" ht="15" customHeight="1" x14ac:dyDescent="0.25">
      <c r="A40" s="116" t="s">
        <v>441</v>
      </c>
      <c r="B40" s="116"/>
      <c r="C40" s="123"/>
      <c r="D40" s="117" t="s">
        <v>429</v>
      </c>
      <c r="E40" s="128"/>
      <c r="F40" s="117" t="s">
        <v>453</v>
      </c>
      <c r="G40" s="128"/>
      <c r="H40" s="117" t="s">
        <v>454</v>
      </c>
      <c r="I40" s="128"/>
      <c r="J40" s="117" t="s">
        <v>455</v>
      </c>
      <c r="K40" s="128"/>
      <c r="L40" s="116"/>
    </row>
    <row r="41" spans="1:12" ht="15" customHeight="1" x14ac:dyDescent="0.25">
      <c r="A41" s="116" t="s">
        <v>442</v>
      </c>
      <c r="B41" s="120" t="s">
        <v>443</v>
      </c>
      <c r="C41" s="124" t="s">
        <v>438</v>
      </c>
      <c r="D41" s="119"/>
      <c r="E41" s="129" t="s">
        <v>124</v>
      </c>
      <c r="F41" s="119"/>
      <c r="G41" s="129" t="s">
        <v>124</v>
      </c>
      <c r="H41" s="119"/>
      <c r="I41" s="129" t="s">
        <v>124</v>
      </c>
      <c r="J41" s="119"/>
      <c r="K41" s="129" t="s">
        <v>124</v>
      </c>
      <c r="L41" s="119" t="s">
        <v>439</v>
      </c>
    </row>
    <row r="42" spans="1:12" ht="19.95" customHeight="1" x14ac:dyDescent="0.25">
      <c r="A42" s="50" t="s">
        <v>444</v>
      </c>
      <c r="B42" s="52"/>
      <c r="C42" s="126"/>
      <c r="D42" s="52"/>
      <c r="E42" s="126"/>
      <c r="F42" s="52"/>
      <c r="G42" s="126"/>
      <c r="H42" s="52"/>
      <c r="I42" s="126"/>
      <c r="J42" s="52"/>
      <c r="K42" s="126"/>
      <c r="L42" s="52"/>
    </row>
    <row r="43" spans="1:12" x14ac:dyDescent="0.25">
      <c r="A43" s="50" t="s">
        <v>445</v>
      </c>
      <c r="B43" s="52"/>
      <c r="C43" s="126"/>
      <c r="D43" s="52"/>
      <c r="E43" s="131">
        <f>SUBTOTAL(9,E$37:E42)</f>
        <v>881.0200000000001</v>
      </c>
      <c r="F43" s="52"/>
      <c r="G43" s="131">
        <f>SUBTOTAL(9,G$37:G42)</f>
        <v>271.64</v>
      </c>
      <c r="H43" s="52"/>
      <c r="I43" s="131">
        <f>SUBTOTAL(9,I$37:I42)</f>
        <v>497.42</v>
      </c>
      <c r="J43" s="52"/>
      <c r="K43" s="131">
        <f>SUBTOTAL(9,K$37:K42)</f>
        <v>9.3999999999999986</v>
      </c>
      <c r="L43" s="51">
        <f>SUBTOTAL(9,L$37:L42)</f>
        <v>1659.48</v>
      </c>
    </row>
  </sheetData>
  <mergeCells count="26">
    <mergeCell ref="D40:E40"/>
    <mergeCell ref="F40:G40"/>
    <mergeCell ref="H40:I40"/>
    <mergeCell ref="J40:K40"/>
    <mergeCell ref="D22:E22"/>
    <mergeCell ref="D27:E27"/>
    <mergeCell ref="A33:D33"/>
    <mergeCell ref="I33:L33"/>
    <mergeCell ref="D35:E35"/>
    <mergeCell ref="F35:G35"/>
    <mergeCell ref="H35:I35"/>
    <mergeCell ref="J35:K35"/>
    <mergeCell ref="D8:E8"/>
    <mergeCell ref="F8:G8"/>
    <mergeCell ref="H8:I8"/>
    <mergeCell ref="J8:K8"/>
    <mergeCell ref="L8:M8"/>
    <mergeCell ref="A20:D20"/>
    <mergeCell ref="I20:L20"/>
    <mergeCell ref="A1:D1"/>
    <mergeCell ref="I1:N1"/>
    <mergeCell ref="D3:E3"/>
    <mergeCell ref="F3:G3"/>
    <mergeCell ref="H3:I3"/>
    <mergeCell ref="J3:K3"/>
    <mergeCell ref="L3:M3"/>
  </mergeCells>
  <phoneticPr fontId="6" type="noConversion"/>
  <pageMargins left="0.75" right="0.75" top="1.1399999999999999" bottom="0.75" header="0.5" footer="0.5"/>
  <pageSetup scale="82" fitToHeight="0" orientation="landscape" r:id="rId1"/>
  <headerFooter alignWithMargins="0">
    <oddHeader>&amp;C&amp;12S.B.C.R. INC._x000D_2618 DE LA VINA STREET | SANTA BARBARA, CA 93105_x000D_EIN: 77-0516672</oddHeader>
    <oddFooter>&amp;L&amp;12Page &amp;P of &amp;N&amp;C&amp;"Arial,Bold"&amp;15 Payroll Liabilities and Payments&amp;R&amp;12 Aug 30 - Aug 30, 2017</oddFooter>
  </headerFooter>
  <rowBreaks count="2" manualBreakCount="2">
    <brk id="19" max="16383" man="1"/>
    <brk id="32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sqref="A1:D1"/>
    </sheetView>
  </sheetViews>
  <sheetFormatPr defaultRowHeight="13.2" x14ac:dyDescent="0.25"/>
  <sheetData/>
  <phoneticPr fontId="6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workbookViewId="0"/>
  </sheetViews>
  <sheetFormatPr defaultRowHeight="13.2" x14ac:dyDescent="0.25"/>
  <cols>
    <col min="1" max="1" width="10.44140625" customWidth="1"/>
  </cols>
  <sheetData/>
  <phoneticPr fontId="6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34"/>
  <sheetViews>
    <sheetView showGridLines="0" workbookViewId="0"/>
  </sheetViews>
  <sheetFormatPr defaultRowHeight="13.2" x14ac:dyDescent="0.25"/>
  <cols>
    <col min="1" max="1" width="89.33203125" customWidth="1"/>
    <col min="2" max="2" width="8.44140625" customWidth="1"/>
  </cols>
  <sheetData>
    <row r="1" spans="1:1" ht="20.25" customHeight="1" x14ac:dyDescent="0.25">
      <c r="A1" s="18" t="s">
        <v>66</v>
      </c>
    </row>
    <row r="2" spans="1:1" ht="24" x14ac:dyDescent="0.25">
      <c r="A2" s="19" t="s">
        <v>67</v>
      </c>
    </row>
    <row r="3" spans="1:1" ht="21.9" customHeight="1" x14ac:dyDescent="0.3">
      <c r="A3" s="20" t="s">
        <v>68</v>
      </c>
    </row>
    <row r="4" spans="1:1" x14ac:dyDescent="0.25">
      <c r="A4" s="21" t="s">
        <v>69</v>
      </c>
    </row>
    <row r="5" spans="1:1" x14ac:dyDescent="0.25">
      <c r="A5" s="22" t="s">
        <v>70</v>
      </c>
    </row>
    <row r="6" spans="1:1" ht="14.1" customHeight="1" x14ac:dyDescent="0.25">
      <c r="A6" s="22" t="s">
        <v>71</v>
      </c>
    </row>
    <row r="7" spans="1:1" x14ac:dyDescent="0.25">
      <c r="A7" s="22" t="s">
        <v>72</v>
      </c>
    </row>
    <row r="8" spans="1:1" x14ac:dyDescent="0.25">
      <c r="A8" s="22" t="s">
        <v>73</v>
      </c>
    </row>
    <row r="9" spans="1:1" x14ac:dyDescent="0.25">
      <c r="A9" s="22" t="s">
        <v>74</v>
      </c>
    </row>
    <row r="10" spans="1:1" x14ac:dyDescent="0.25">
      <c r="A10" s="22" t="s">
        <v>75</v>
      </c>
    </row>
    <row r="11" spans="1:1" ht="21.9" customHeight="1" x14ac:dyDescent="0.3">
      <c r="A11" s="20" t="s">
        <v>49</v>
      </c>
    </row>
    <row r="12" spans="1:1" ht="15" customHeight="1" x14ac:dyDescent="0.25">
      <c r="A12" s="23" t="s">
        <v>76</v>
      </c>
    </row>
    <row r="13" spans="1:1" x14ac:dyDescent="0.25">
      <c r="A13" s="22" t="s">
        <v>77</v>
      </c>
    </row>
    <row r="14" spans="1:1" x14ac:dyDescent="0.25">
      <c r="A14" s="24" t="s">
        <v>78</v>
      </c>
    </row>
    <row r="15" spans="1:1" ht="25.5" customHeight="1" x14ac:dyDescent="0.25">
      <c r="A15" s="25" t="s">
        <v>79</v>
      </c>
    </row>
    <row r="16" spans="1:1" ht="12.9" customHeight="1" x14ac:dyDescent="0.25">
      <c r="A16" s="22" t="s">
        <v>80</v>
      </c>
    </row>
    <row r="17" spans="1:1" ht="12.9" customHeight="1" x14ac:dyDescent="0.25">
      <c r="A17" s="24" t="s">
        <v>81</v>
      </c>
    </row>
    <row r="18" spans="1:1" ht="12.9" customHeight="1" x14ac:dyDescent="0.25">
      <c r="A18" s="22" t="s">
        <v>82</v>
      </c>
    </row>
    <row r="19" spans="1:1" ht="12.9" customHeight="1" x14ac:dyDescent="0.25">
      <c r="A19" s="22" t="s">
        <v>83</v>
      </c>
    </row>
    <row r="20" spans="1:1" ht="12.9" customHeight="1" x14ac:dyDescent="0.25">
      <c r="A20" s="22" t="s">
        <v>84</v>
      </c>
    </row>
    <row r="21" spans="1:1" ht="12.9" customHeight="1" x14ac:dyDescent="0.25">
      <c r="A21" s="22" t="s">
        <v>85</v>
      </c>
    </row>
    <row r="22" spans="1:1" ht="12.9" customHeight="1" x14ac:dyDescent="0.25">
      <c r="A22" s="26" t="s">
        <v>86</v>
      </c>
    </row>
    <row r="23" spans="1:1" ht="12.9" customHeight="1" x14ac:dyDescent="0.25">
      <c r="A23" s="26" t="s">
        <v>87</v>
      </c>
    </row>
    <row r="24" spans="1:1" ht="21.9" customHeight="1" x14ac:dyDescent="0.3">
      <c r="A24" s="20" t="s">
        <v>88</v>
      </c>
    </row>
    <row r="25" spans="1:1" ht="15" customHeight="1" x14ac:dyDescent="0.25">
      <c r="A25" s="23" t="s">
        <v>89</v>
      </c>
    </row>
    <row r="26" spans="1:1" x14ac:dyDescent="0.25">
      <c r="A26" s="22" t="s">
        <v>90</v>
      </c>
    </row>
    <row r="27" spans="1:1" ht="25.5" customHeight="1" x14ac:dyDescent="0.25">
      <c r="A27" s="25" t="s">
        <v>91</v>
      </c>
    </row>
    <row r="28" spans="1:1" ht="13.5" customHeight="1" x14ac:dyDescent="0.25">
      <c r="A28" s="22" t="s">
        <v>92</v>
      </c>
    </row>
    <row r="29" spans="1:1" ht="12.9" customHeight="1" x14ac:dyDescent="0.25">
      <c r="A29" s="22" t="s">
        <v>93</v>
      </c>
    </row>
    <row r="30" spans="1:1" ht="12.9" customHeight="1" x14ac:dyDescent="0.25">
      <c r="A30" s="22" t="s">
        <v>94</v>
      </c>
    </row>
    <row r="31" spans="1:1" ht="12.9" customHeight="1" x14ac:dyDescent="0.25">
      <c r="A31" s="22" t="s">
        <v>95</v>
      </c>
    </row>
    <row r="32" spans="1:1" ht="12.9" customHeight="1" x14ac:dyDescent="0.25">
      <c r="A32" s="22" t="s">
        <v>96</v>
      </c>
    </row>
    <row r="33" spans="1:1" ht="12.9" customHeight="1" x14ac:dyDescent="0.25">
      <c r="A33" s="26" t="s">
        <v>97</v>
      </c>
    </row>
    <row r="34" spans="1:1" ht="12.9" customHeight="1" x14ac:dyDescent="0.25">
      <c r="A34" s="26" t="s">
        <v>98</v>
      </c>
    </row>
  </sheetData>
  <phoneticPr fontId="0" type="noConversion"/>
  <pageMargins left="0.75" right="0.75" top="1" bottom="1" header="0.5" footer="0.5"/>
  <pageSetup fitToHeight="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autoPageBreaks="0"/>
  </sheetPr>
  <dimension ref="A1"/>
  <sheetViews>
    <sheetView zoomScale="75"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0.109375" bestFit="1" customWidth="1"/>
    <col min="2" max="2" width="8" bestFit="1" customWidth="1"/>
    <col min="3" max="3" width="33.44140625" bestFit="1" customWidth="1"/>
    <col min="4" max="4" width="27" bestFit="1" customWidth="1"/>
    <col min="5" max="5" width="19.5546875" bestFit="1" customWidth="1"/>
    <col min="6" max="6" width="16.5546875" bestFit="1" customWidth="1"/>
    <col min="7" max="7" width="11.109375" bestFit="1" customWidth="1"/>
    <col min="8" max="8" width="20.88671875" bestFit="1" customWidth="1"/>
    <col min="9" max="9" width="22.88671875" bestFit="1" customWidth="1"/>
    <col min="10" max="10" width="9.33203125" bestFit="1" customWidth="1"/>
    <col min="11" max="11" width="10.44140625" bestFit="1" customWidth="1"/>
    <col min="12" max="13" width="10.109375" bestFit="1" customWidth="1"/>
    <col min="14" max="14" width="12.109375" bestFit="1" customWidth="1"/>
    <col min="15" max="15" width="8" bestFit="1" customWidth="1"/>
    <col min="16" max="16" width="6.33203125" bestFit="1" customWidth="1"/>
    <col min="17" max="17" width="9.88671875" bestFit="1" customWidth="1"/>
    <col min="18" max="18" width="19.88671875" bestFit="1" customWidth="1"/>
  </cols>
  <sheetData/>
  <dataConsolidate/>
  <phoneticPr fontId="0" type="noConversion"/>
  <pageMargins left="0.75" right="0.75" top="1" bottom="1" header="0.5" footer="0.5"/>
  <pageSetup orientation="portrait" r:id="rId1"/>
  <headerFooter alignWithMargins="0">
    <oddFooter>&amp;RPrepared by: Tim's Reports | Tim Teichman_x000D_123 Garcia Ave | Mountian View, CA 99999_x000D_(650) 944-6902 | timothy_teichman@intuit.com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autoPageBreaks="0"/>
  </sheetPr>
  <dimension ref="A1"/>
  <sheetViews>
    <sheetView zoomScale="75" workbookViewId="0"/>
  </sheetViews>
  <sheetFormatPr defaultRowHeight="13.2" x14ac:dyDescent="0.25"/>
  <cols>
    <col min="1" max="1" width="5.109375" bestFit="1" customWidth="1"/>
    <col min="2" max="2" width="8" bestFit="1" customWidth="1"/>
    <col min="3" max="3" width="16.109375" bestFit="1" customWidth="1"/>
    <col min="4" max="4" width="10.88671875" bestFit="1" customWidth="1"/>
    <col min="5" max="5" width="15.5546875" bestFit="1" customWidth="1"/>
    <col min="6" max="6" width="16.5546875" bestFit="1" customWidth="1"/>
    <col min="7" max="7" width="4.88671875" bestFit="1" customWidth="1"/>
    <col min="8" max="8" width="20.88671875" bestFit="1" customWidth="1"/>
    <col min="9" max="9" width="16.33203125" bestFit="1" customWidth="1"/>
    <col min="10" max="10" width="7.33203125" bestFit="1" customWidth="1"/>
    <col min="11" max="11" width="10.44140625" bestFit="1" customWidth="1"/>
    <col min="12" max="12" width="8.88671875" bestFit="1" customWidth="1"/>
    <col min="13" max="13" width="8.109375" bestFit="1" customWidth="1"/>
    <col min="14" max="14" width="12.109375" bestFit="1" customWidth="1"/>
    <col min="15" max="15" width="7.6640625" bestFit="1" customWidth="1"/>
    <col min="16" max="16" width="6.33203125" bestFit="1" customWidth="1"/>
    <col min="17" max="17" width="9.88671875" bestFit="1" customWidth="1"/>
    <col min="18" max="18" width="19.88671875" bestFit="1" customWidth="1"/>
    <col min="19" max="19" width="14.109375" bestFit="1" customWidth="1"/>
    <col min="20" max="22" width="13.33203125" bestFit="1" customWidth="1"/>
    <col min="23" max="23" width="18.5546875" customWidth="1"/>
    <col min="24" max="24" width="22.44140625" customWidth="1"/>
    <col min="25" max="25" width="18.109375" customWidth="1"/>
  </cols>
  <sheetData/>
  <dataConsolidate/>
  <phoneticPr fontId="0" type="noConversion"/>
  <pageMargins left="0.75" right="0.75" top="1" bottom="1" header="0.5" footer="0.5"/>
  <pageSetup orientation="portrait" r:id="rId1"/>
  <headerFooter alignWithMargins="0">
    <oddFooter>&amp;RPrepared by: Tim's Reports | Tim Teichman_x000D_123 Garcia Ave | Mountian View, CA 99999_x000D_(650) 944-6902 | timothy_teichman@intuit.com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3.2" x14ac:dyDescent="0.25"/>
  <cols>
    <col min="1" max="1" width="15.109375" customWidth="1"/>
    <col min="2" max="2" width="12.109375" customWidth="1"/>
    <col min="4" max="4" width="13.5546875" customWidth="1"/>
    <col min="5" max="5" width="13.44140625" customWidth="1"/>
    <col min="6" max="6" width="14.88671875" customWidth="1"/>
    <col min="8" max="8" width="13.33203125" customWidth="1"/>
    <col min="9" max="9" width="13.5546875" customWidth="1"/>
  </cols>
  <sheetData/>
  <phoneticPr fontId="6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autoPageBreaks="0"/>
  </sheetPr>
  <dimension ref="A1"/>
  <sheetViews>
    <sheetView zoomScale="75" workbookViewId="0"/>
  </sheetViews>
  <sheetFormatPr defaultRowHeight="13.2" x14ac:dyDescent="0.25"/>
  <cols>
    <col min="1" max="1" width="11.88671875" bestFit="1" customWidth="1"/>
    <col min="2" max="2" width="11.6640625" customWidth="1"/>
    <col min="3" max="3" width="28" customWidth="1"/>
    <col min="4" max="5" width="19.33203125" customWidth="1"/>
    <col min="6" max="6" width="14.44140625" customWidth="1"/>
    <col min="7" max="8" width="11.5546875" bestFit="1" customWidth="1"/>
    <col min="9" max="9" width="23.5546875" bestFit="1" customWidth="1"/>
    <col min="10" max="10" width="18.33203125" bestFit="1" customWidth="1"/>
    <col min="11" max="11" width="9.88671875" bestFit="1" customWidth="1"/>
    <col min="12" max="12" width="14.109375" bestFit="1" customWidth="1"/>
    <col min="13" max="13" width="18.44140625" customWidth="1"/>
    <col min="15" max="15" width="9.5546875" bestFit="1" customWidth="1"/>
    <col min="17" max="17" width="14.109375" bestFit="1" customWidth="1"/>
    <col min="18" max="18" width="8.5546875" bestFit="1" customWidth="1"/>
    <col min="19" max="19" width="14.109375" bestFit="1" customWidth="1"/>
    <col min="20" max="20" width="20.33203125" customWidth="1"/>
    <col min="21" max="22" width="13.33203125" bestFit="1" customWidth="1"/>
    <col min="23" max="23" width="18.5546875" customWidth="1"/>
    <col min="24" max="24" width="22.44140625" customWidth="1"/>
    <col min="25" max="25" width="18.109375" customWidth="1"/>
  </cols>
  <sheetData/>
  <dataConsolidate/>
  <phoneticPr fontId="0" type="noConversion"/>
  <pageMargins left="0.75" right="0.75" top="1" bottom="1" header="0.5" footer="0.5"/>
  <pageSetup orientation="portrait" r:id="rId1"/>
  <headerFooter alignWithMargins="0">
    <oddFooter>&amp;RPrepared by: Tim's Reports | Tim Teichman_x000D_123 Garcia Ave | Mountian View, CA 99999_x000D_(650) 944-6902 | timothy_teichman@intuit.com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 fitToPage="1"/>
  </sheetPr>
  <dimension ref="A1:H42"/>
  <sheetViews>
    <sheetView showGridLines="0" showOutlineSymbols="0" workbookViewId="0">
      <selection activeCell="A43" sqref="A43"/>
    </sheetView>
  </sheetViews>
  <sheetFormatPr defaultRowHeight="13.2" x14ac:dyDescent="0.25"/>
  <cols>
    <col min="1" max="1" width="24.109375" customWidth="1"/>
    <col min="2" max="2" width="24.6640625" customWidth="1"/>
    <col min="3" max="6" width="13.5546875" customWidth="1"/>
    <col min="7" max="7" width="21" customWidth="1"/>
    <col min="8" max="8" width="65.6640625" style="6" customWidth="1"/>
  </cols>
  <sheetData>
    <row r="1" spans="1:8" ht="12.9" customHeight="1" x14ac:dyDescent="0.25">
      <c r="A1" t="s">
        <v>48</v>
      </c>
      <c r="B1" t="str">
        <f>TEXT(LastStartDate, "DD-MMM-YYYY")&amp;" to "&amp;TEXT(LastEndDate, "DD-MMM-YYYY")</f>
        <v>30-Aug-2017 to 30-Aug-2017</v>
      </c>
    </row>
    <row r="2" spans="1:8" ht="12.9" customHeight="1" x14ac:dyDescent="0.25">
      <c r="A2" t="s">
        <v>0</v>
      </c>
      <c r="B2">
        <v>0.81</v>
      </c>
      <c r="G2" s="1" t="s">
        <v>1</v>
      </c>
      <c r="H2" s="27">
        <v>42736</v>
      </c>
    </row>
    <row r="3" spans="1:8" x14ac:dyDescent="0.25">
      <c r="A3" t="s">
        <v>2</v>
      </c>
      <c r="B3" s="2">
        <v>42977</v>
      </c>
      <c r="G3" s="1" t="s">
        <v>3</v>
      </c>
      <c r="H3" s="27">
        <v>42736</v>
      </c>
    </row>
    <row r="4" spans="1:8" x14ac:dyDescent="0.25">
      <c r="A4" t="s">
        <v>4</v>
      </c>
      <c r="B4" s="2">
        <v>42977</v>
      </c>
      <c r="G4" s="1" t="s">
        <v>5</v>
      </c>
      <c r="H4" s="6" t="s">
        <v>108</v>
      </c>
    </row>
    <row r="5" spans="1:8" x14ac:dyDescent="0.25">
      <c r="A5" t="s">
        <v>6</v>
      </c>
      <c r="B5" s="2">
        <v>42977</v>
      </c>
      <c r="G5" s="1" t="s">
        <v>7</v>
      </c>
      <c r="H5" s="6" t="s">
        <v>104</v>
      </c>
    </row>
    <row r="6" spans="1:8" x14ac:dyDescent="0.25">
      <c r="A6" t="s">
        <v>8</v>
      </c>
      <c r="B6" s="2">
        <v>42977</v>
      </c>
      <c r="G6" s="1" t="s">
        <v>9</v>
      </c>
      <c r="H6" s="6" t="s">
        <v>105</v>
      </c>
    </row>
    <row r="7" spans="1:8" x14ac:dyDescent="0.25">
      <c r="A7" t="s">
        <v>10</v>
      </c>
      <c r="B7" t="b">
        <v>0</v>
      </c>
      <c r="G7" s="1" t="s">
        <v>11</v>
      </c>
    </row>
    <row r="8" spans="1:8" x14ac:dyDescent="0.25">
      <c r="A8" t="s">
        <v>12</v>
      </c>
      <c r="B8" t="b">
        <v>1</v>
      </c>
      <c r="G8" s="1" t="s">
        <v>13</v>
      </c>
      <c r="H8" s="6" t="s">
        <v>106</v>
      </c>
    </row>
    <row r="9" spans="1:8" x14ac:dyDescent="0.25">
      <c r="A9" t="s">
        <v>14</v>
      </c>
      <c r="B9" t="b">
        <v>1</v>
      </c>
      <c r="G9" s="1" t="s">
        <v>15</v>
      </c>
      <c r="H9" s="6" t="s">
        <v>107</v>
      </c>
    </row>
    <row r="10" spans="1:8" x14ac:dyDescent="0.25">
      <c r="A10" s="1" t="s">
        <v>16</v>
      </c>
      <c r="B10" t="b">
        <v>1</v>
      </c>
      <c r="G10" s="1" t="s">
        <v>17</v>
      </c>
      <c r="H10" s="6">
        <v>93105</v>
      </c>
    </row>
    <row r="11" spans="1:8" x14ac:dyDescent="0.25">
      <c r="A11" s="1" t="s">
        <v>18</v>
      </c>
      <c r="B11" t="b">
        <v>1</v>
      </c>
      <c r="G11" s="1" t="s">
        <v>64</v>
      </c>
      <c r="H11" s="6" t="s">
        <v>110</v>
      </c>
    </row>
    <row r="12" spans="1:8" x14ac:dyDescent="0.25">
      <c r="A12" s="1" t="s">
        <v>20</v>
      </c>
      <c r="B12" t="b">
        <v>1</v>
      </c>
      <c r="G12" t="s">
        <v>50</v>
      </c>
      <c r="H12" s="6" t="s">
        <v>117</v>
      </c>
    </row>
    <row r="13" spans="1:8" x14ac:dyDescent="0.25">
      <c r="A13" t="s">
        <v>43</v>
      </c>
      <c r="B13" t="b">
        <v>1</v>
      </c>
      <c r="G13" t="s">
        <v>51</v>
      </c>
      <c r="H13" s="6" t="s">
        <v>118</v>
      </c>
    </row>
    <row r="14" spans="1:8" x14ac:dyDescent="0.25">
      <c r="A14" t="s">
        <v>44</v>
      </c>
      <c r="B14">
        <v>5.15</v>
      </c>
      <c r="G14" s="1" t="s">
        <v>19</v>
      </c>
      <c r="H14" s="6" t="s">
        <v>109</v>
      </c>
    </row>
    <row r="15" spans="1:8" x14ac:dyDescent="0.25">
      <c r="A15" t="s">
        <v>45</v>
      </c>
      <c r="B15" t="s">
        <v>65</v>
      </c>
      <c r="G15" t="s">
        <v>52</v>
      </c>
      <c r="H15" s="6">
        <v>25</v>
      </c>
    </row>
    <row r="16" spans="1:8" x14ac:dyDescent="0.25">
      <c r="G16" t="s">
        <v>53</v>
      </c>
      <c r="H16" s="6">
        <v>0</v>
      </c>
    </row>
    <row r="17" spans="1:8" x14ac:dyDescent="0.25">
      <c r="G17" t="s">
        <v>54</v>
      </c>
      <c r="H17" s="6">
        <v>14</v>
      </c>
    </row>
    <row r="18" spans="1:8" x14ac:dyDescent="0.25">
      <c r="G18" t="s">
        <v>55</v>
      </c>
      <c r="H18" s="6" t="s">
        <v>115</v>
      </c>
    </row>
    <row r="19" spans="1:8" x14ac:dyDescent="0.25">
      <c r="G19" t="s">
        <v>56</v>
      </c>
      <c r="H19" s="6" t="s">
        <v>119</v>
      </c>
    </row>
    <row r="20" spans="1:8" x14ac:dyDescent="0.25">
      <c r="A20" t="s">
        <v>21</v>
      </c>
      <c r="B20" t="s">
        <v>103</v>
      </c>
      <c r="G20" t="s">
        <v>57</v>
      </c>
      <c r="H20" s="6" t="s">
        <v>116</v>
      </c>
    </row>
    <row r="21" spans="1:8" x14ac:dyDescent="0.25">
      <c r="A21" t="s">
        <v>22</v>
      </c>
      <c r="B21">
        <v>4</v>
      </c>
      <c r="G21" t="s">
        <v>58</v>
      </c>
      <c r="H21" s="6">
        <v>1354840594</v>
      </c>
    </row>
    <row r="22" spans="1:8" x14ac:dyDescent="0.25">
      <c r="A22" t="s">
        <v>23</v>
      </c>
      <c r="B22">
        <v>-9</v>
      </c>
      <c r="G22" t="s">
        <v>59</v>
      </c>
      <c r="H22" s="6" t="s">
        <v>114</v>
      </c>
    </row>
    <row r="23" spans="1:8" x14ac:dyDescent="0.25">
      <c r="A23" t="s">
        <v>24</v>
      </c>
      <c r="B23">
        <v>-9</v>
      </c>
      <c r="G23" t="s">
        <v>60</v>
      </c>
      <c r="H23" s="6" t="s">
        <v>111</v>
      </c>
    </row>
    <row r="24" spans="1:8" x14ac:dyDescent="0.25">
      <c r="A24" t="s">
        <v>25</v>
      </c>
      <c r="B24" t="b">
        <v>0</v>
      </c>
      <c r="G24" t="s">
        <v>61</v>
      </c>
      <c r="H24" s="6" t="s">
        <v>113</v>
      </c>
    </row>
    <row r="25" spans="1:8" x14ac:dyDescent="0.25">
      <c r="A25" t="s">
        <v>26</v>
      </c>
      <c r="B25">
        <v>25</v>
      </c>
      <c r="G25" t="s">
        <v>62</v>
      </c>
      <c r="H25" s="6" t="s">
        <v>120</v>
      </c>
    </row>
    <row r="26" spans="1:8" x14ac:dyDescent="0.25">
      <c r="A26" t="s">
        <v>27</v>
      </c>
      <c r="B26">
        <v>5</v>
      </c>
      <c r="G26" t="s">
        <v>63</v>
      </c>
      <c r="H26" s="6" t="s">
        <v>112</v>
      </c>
    </row>
    <row r="27" spans="1:8" x14ac:dyDescent="0.25">
      <c r="A27" t="s">
        <v>28</v>
      </c>
      <c r="B27">
        <v>25</v>
      </c>
    </row>
    <row r="28" spans="1:8" x14ac:dyDescent="0.25">
      <c r="A28" t="s">
        <v>29</v>
      </c>
      <c r="B28" s="3">
        <v>42976.610335648147</v>
      </c>
    </row>
    <row r="29" spans="1:8" x14ac:dyDescent="0.25">
      <c r="A29" t="s">
        <v>30</v>
      </c>
      <c r="B29" s="3">
        <v>42976.606481481482</v>
      </c>
    </row>
    <row r="30" spans="1:8" x14ac:dyDescent="0.25">
      <c r="A30" t="s">
        <v>31</v>
      </c>
      <c r="B30" t="b">
        <v>1</v>
      </c>
    </row>
    <row r="31" spans="1:8" x14ac:dyDescent="0.25">
      <c r="A31" t="s">
        <v>32</v>
      </c>
      <c r="B31" t="b">
        <v>1</v>
      </c>
    </row>
    <row r="32" spans="1:8" x14ac:dyDescent="0.25">
      <c r="A32" t="s">
        <v>33</v>
      </c>
      <c r="B32" s="3">
        <v>42976.606562499997</v>
      </c>
    </row>
    <row r="33" spans="1:8" x14ac:dyDescent="0.25">
      <c r="A33" t="s">
        <v>34</v>
      </c>
      <c r="B33" s="3">
        <v>42976.609861111108</v>
      </c>
    </row>
    <row r="34" spans="1:8" x14ac:dyDescent="0.25">
      <c r="A34" t="s">
        <v>35</v>
      </c>
      <c r="B34" t="b">
        <v>0</v>
      </c>
    </row>
    <row r="35" spans="1:8" x14ac:dyDescent="0.25">
      <c r="A35" t="s">
        <v>36</v>
      </c>
      <c r="B35" t="b">
        <v>0</v>
      </c>
    </row>
    <row r="36" spans="1:8" x14ac:dyDescent="0.25">
      <c r="A36" t="s">
        <v>37</v>
      </c>
      <c r="B36">
        <v>-1</v>
      </c>
    </row>
    <row r="39" spans="1:8" x14ac:dyDescent="0.25">
      <c r="A39" t="s">
        <v>42</v>
      </c>
    </row>
    <row r="40" spans="1:8" x14ac:dyDescent="0.25">
      <c r="A40" t="s">
        <v>38</v>
      </c>
      <c r="B40" t="s">
        <v>39</v>
      </c>
      <c r="C40" t="s">
        <v>40</v>
      </c>
      <c r="D40" t="s">
        <v>41</v>
      </c>
    </row>
    <row r="41" spans="1:8" x14ac:dyDescent="0.25">
      <c r="G41" t="s">
        <v>99</v>
      </c>
      <c r="H41" s="6">
        <v>933270334</v>
      </c>
    </row>
    <row r="42" spans="1:8" x14ac:dyDescent="0.25">
      <c r="G42" t="s">
        <v>100</v>
      </c>
      <c r="H42" s="6" t="s">
        <v>101</v>
      </c>
    </row>
  </sheetData>
  <dataConsolidate/>
  <phoneticPr fontId="0" type="noConversion"/>
  <pageMargins left="0.75" right="0.75" top="1.22" bottom="0.75" header="0.5" footer="0.5"/>
  <pageSetup fitToHeight="0" orientation="portrait" r:id="rId1"/>
  <headerFooter alignWithMargins="0">
    <oddFooter>&amp;RPrepared by: Tim's Reports | Tim Teichman_x000D_123 Garcia Ave | Mountian View, CA 99999_x000D_(650) 944-6902 | timothy_teichman@intuit.com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3.2" x14ac:dyDescent="0.25"/>
  <cols>
    <col min="1" max="1" width="19.33203125" customWidth="1"/>
  </cols>
  <sheetData>
    <row r="1" spans="1:1" x14ac:dyDescent="0.25">
      <c r="A1" t="s">
        <v>46</v>
      </c>
    </row>
  </sheetData>
  <phoneticPr fontId="0" type="noConversion"/>
  <pageMargins left="0.75" right="0.75" top="1" bottom="1" header="0.5" footer="0.5"/>
  <pageSetup orientation="portrait" horizont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workbookViewId="0"/>
  </sheetViews>
  <sheetFormatPr defaultRowHeight="13.2" x14ac:dyDescent="0.25"/>
  <sheetData>
    <row r="1" spans="1:1" x14ac:dyDescent="0.25">
      <c r="A1" t="s">
        <v>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Register</vt:lpstr>
      <vt:lpstr>Detail</vt:lpstr>
      <vt:lpstr>Exp Summary</vt:lpstr>
      <vt:lpstr>Exp Charts</vt:lpstr>
      <vt:lpstr>YTD Summary</vt:lpstr>
      <vt:lpstr>Comparison</vt:lpstr>
      <vt:lpstr>Tax Balances</vt:lpstr>
      <vt:lpstr>Welcome</vt:lpstr>
      <vt:lpstr>DataPriorInterface</vt:lpstr>
      <vt:lpstr>Comparison!Print_Titles</vt:lpstr>
      <vt:lpstr>Detail!Print_Titles</vt:lpstr>
      <vt:lpstr>'Exp Summary'!Print_Titles</vt:lpstr>
      <vt:lpstr>Register!Print_Titles</vt:lpstr>
      <vt:lpstr>'YTD Summary'!Print_Titles</vt:lpstr>
      <vt:lpstr>QBCreateID</vt:lpstr>
      <vt:lpstr>QBCreateTime</vt:lpstr>
    </vt:vector>
  </TitlesOfParts>
  <Company>Intuit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QuickBooks Client-Ready Payroll Reports</dc:title>
  <dc:creator>Carmen Corral - Walpole &amp; Co., LLP</dc:creator>
  <dc:description>Created by Intuit Inc. to work with QuickBooks 2007 and above</dc:description>
  <cp:lastModifiedBy>Carmen Corral - Walpole &amp; Co., LLP</cp:lastModifiedBy>
  <cp:lastPrinted>2013-01-16T10:31:02Z</cp:lastPrinted>
  <dcterms:created xsi:type="dcterms:W3CDTF">2001-04-10T23:19:41Z</dcterms:created>
  <dcterms:modified xsi:type="dcterms:W3CDTF">2017-08-29T21:41:18Z</dcterms:modified>
</cp:coreProperties>
</file>